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"/>
  </bookViews>
  <sheets>
    <sheet name="A座10层房租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L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P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<sst xmlns="http://schemas.openxmlformats.org/spreadsheetml/2006/main" count="77" uniqueCount="67">
  <si>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</si>
  <si>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</si>
  <si>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</si>
  <si>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</si>
  <si>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</si>
  <si>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</si>
  <si>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</si>
  <si>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</si>
  <si>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</si>
  <si>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</si>
  <si>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</si>
  <si>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</si>
  <si>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</si>
  <si>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</si>
  <si>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</si>
  <si>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</si>
  <si>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t>A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401-3</t>
    </r>
  </si>
  <si>
    <t>六个月一付</t>
  </si>
  <si>
    <r>
      <rPr>
        <b/>
        <sz val="12"/>
        <rFont val="宋体"/>
        <charset val="134"/>
      </rPr>
      <t>第一年</t>
    </r>
  </si>
  <si>
    <t>2026.6.1-2026.11.30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</si>
  <si>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</si>
  <si>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2026.12.1-2027.5.31</t>
  </si>
  <si>
    <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</si>
  <si>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第二年</t>
  </si>
  <si>
    <t>2027.6.1-2027.11.30</t>
  </si>
  <si>
    <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5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日之前</t>
    </r>
  </si>
  <si>
    <t>2027.12.1-2028.5.31</t>
  </si>
  <si>
    <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日前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</si>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</sst>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2"/>
      <name val="宋体"/>
      <charset val="134"/>
    </font>
    <font>
      <b/>
      <sz val="14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6" applyNumberFormat="0" applyAlignment="0" applyProtection="0">
      <alignment vertical="center"/>
    </xf>
    <xf numFmtId="0" fontId="23" fillId="6" borderId="27" applyNumberFormat="0" applyAlignment="0" applyProtection="0">
      <alignment vertical="center"/>
    </xf>
    <xf numFmtId="0" fontId="24" fillId="6" borderId="26" applyNumberFormat="0" applyAlignment="0" applyProtection="0">
      <alignment vertical="center"/>
    </xf>
    <xf numFmtId="0" fontId="25" fillId="7" borderId="28" applyNumberFormat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 wrapText="1"/>
    </xf>
    <xf numFmtId="176" fontId="8" fillId="0" borderId="16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177" fontId="8" fillId="0" borderId="16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 wrapText="1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8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zoomScale="89" zoomScaleNormal="89" topLeftCell="B1" workbookViewId="0">
      <selection activeCell="O11" sqref="O11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39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 t="s">
        <v>16</v>
      </c>
      <c r="B3" s="42">
        <v>43.72</v>
      </c>
      <c r="C3" s="42">
        <v>2</v>
      </c>
      <c r="D3" s="42">
        <v>2</v>
      </c>
      <c r="E3" s="43">
        <f>(B3*C3*365/12)*D3</f>
        <v>5319.26666666667</v>
      </c>
      <c r="F3" s="42">
        <f>SUM(O3:O6)</f>
        <v>64790</v>
      </c>
      <c r="G3" s="44" t="s">
        <v>17</v>
      </c>
      <c r="H3" s="42">
        <v>3</v>
      </c>
      <c r="I3" s="42" t="s">
        <v>18</v>
      </c>
      <c r="J3" s="45">
        <v>1</v>
      </c>
      <c r="K3" s="46">
        <f>C3</f>
        <v>2</v>
      </c>
      <c r="L3" s="46" t="s">
        <v>19</v>
      </c>
      <c r="M3" s="47">
        <f>ROUND(O3/1.09,2)</f>
        <v>14640.37</v>
      </c>
      <c r="N3" s="47">
        <f>ROUND(O3-M3,2)</f>
        <v>1317.63</v>
      </c>
      <c r="O3" s="48">
        <f>ROUND(B3*K3*365/2,0)</f>
        <v>15958</v>
      </c>
      <c r="P3" s="49" t="s">
        <v>20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2"/>
      <c r="J4" s="42">
        <v>2</v>
      </c>
      <c r="K4" s="50">
        <f>C3</f>
        <v>2</v>
      </c>
      <c r="L4" s="46" t="s">
        <v>21</v>
      </c>
      <c r="M4" s="51">
        <f>ROUND(O4/1.09,2)</f>
        <v>14640.37</v>
      </c>
      <c r="N4" s="47">
        <f>ROUND(O4-M4,2)</f>
        <v>1317.63</v>
      </c>
      <c r="O4" s="52">
        <f>ROUND(B3*K3*365/2,0)</f>
        <v>15958</v>
      </c>
      <c r="P4" s="53" t="s">
        <v>22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54" t="s">
        <v>23</v>
      </c>
      <c r="J5" s="42">
        <v>3</v>
      </c>
      <c r="K5" s="50">
        <f>K3*1.03</f>
        <v>2.06</v>
      </c>
      <c r="L5" s="46" t="s">
        <v>24</v>
      </c>
      <c r="M5" s="51">
        <f>ROUND(O5/1.09,2)</f>
        <v>15079.82</v>
      </c>
      <c r="N5" s="47">
        <f>ROUND(O5-M5,2)</f>
        <v>1357.18</v>
      </c>
      <c r="O5" s="53">
        <f>ROUND(B3*K5*365/2,0)</f>
        <v>16437</v>
      </c>
      <c r="P5" s="53" t="s">
        <v>25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55"/>
      <c r="J6" s="42">
        <v>4</v>
      </c>
      <c r="K6" s="50">
        <f>K4*1.03</f>
        <v>2.06</v>
      </c>
      <c r="L6" s="46" t="s">
        <v>26</v>
      </c>
      <c r="M6" s="51">
        <f>ROUND(O6/1.09,2)</f>
        <v>15079.82</v>
      </c>
      <c r="N6" s="47">
        <f>ROUND(O6-M6,2)</f>
        <v>1357.18</v>
      </c>
      <c r="O6" s="53">
        <f>ROUND(B3*K5*365/2,0)</f>
        <v>16437</v>
      </c>
      <c r="P6" s="53" t="s">
        <v>27</v>
      </c>
    </row>
    <row r="7" ht="28" customHeight="1" spans="1:17">
      <c r="A7" s="42"/>
      <c r="B7" s="42"/>
      <c r="C7" s="42"/>
      <c r="D7" s="42"/>
      <c r="E7" s="43"/>
      <c r="F7" s="42"/>
      <c r="G7" s="42"/>
      <c r="H7" s="42"/>
      <c r="I7" s="56" t="s">
        <v>28</v>
      </c>
      <c r="J7" s="56"/>
      <c r="K7" s="56"/>
      <c r="L7" s="56"/>
      <c r="M7" s="56"/>
      <c r="N7" s="56"/>
      <c r="O7" s="57">
        <f>SUM(O3:O6)</f>
        <v>64790</v>
      </c>
      <c r="P7" s="58"/>
      <c r="Q7" s="33"/>
    </row>
    <row r="8" ht="15.75" spans="1:17">
      <c r="B8" s="33"/>
      <c r="C8" s="33"/>
      <c r="D8" s="33"/>
      <c r="H8" s="33"/>
    </row>
    <row r="9" s="32" customFormat="1" ht="56" customHeight="1" spans="1:17">
      <c r="A9" s="35" t="s">
        <v>29</v>
      </c>
      <c r="B9" s="35" t="s">
        <v>30</v>
      </c>
      <c r="C9" s="35" t="s">
        <v>31</v>
      </c>
      <c r="D9" s="59" t="s">
        <v>32</v>
      </c>
      <c r="E9" s="60" t="s">
        <v>33</v>
      </c>
      <c r="F9" s="61" t="s">
        <v>34</v>
      </c>
      <c r="H9" s="62"/>
      <c r="I9" s="62"/>
      <c r="O9" s="34"/>
      <c r="P9" s="34"/>
    </row>
    <row r="10" s="32" customFormat="1" ht="59" customHeight="1" spans="1:17">
      <c r="A10" s="56" t="str">
        <f>A3</f>
        <v>A座401-3</v>
      </c>
      <c r="B10" s="42">
        <f>B3</f>
        <v>43.72</v>
      </c>
      <c r="C10" s="63" t="s">
        <v>35</v>
      </c>
      <c r="D10" s="42">
        <f>B3*10</f>
        <v>437.2</v>
      </c>
      <c r="E10" s="64" t="s">
        <v>36</v>
      </c>
      <c r="F10" s="42">
        <f>B3*2</f>
        <v>87.44</v>
      </c>
      <c r="O10" s="34"/>
      <c r="P10" s="34"/>
    </row>
    <row r="11" s="33" customFormat="1" ht="21" customHeight="1" spans="1:17">
      <c r="A11" s="65"/>
      <c r="B11" s="66"/>
      <c r="C11" s="66"/>
      <c r="D11" s="65"/>
      <c r="I11" s="67"/>
      <c r="O11" s="68"/>
      <c r="P11" s="68"/>
    </row>
    <row r="12" s="33" customFormat="1" ht="21" customHeight="1" spans="1:17">
      <c r="A12" s="65"/>
      <c r="B12" s="66"/>
      <c r="C12" s="66"/>
      <c r="D12" s="65"/>
      <c r="H12" s="67"/>
      <c r="I12" s="67"/>
      <c r="O12" s="68"/>
      <c r="P12" s="68"/>
    </row>
    <row r="13" spans="1:17">
      <c r="B13" s="33"/>
      <c r="C13" s="33"/>
      <c r="H13" s="62"/>
      <c r="I13" s="62"/>
    </row>
    <row r="14" spans="1:17">
      <c r="I14" s="33"/>
      <c r="J14" s="33"/>
      <c r="K14" s="33"/>
      <c r="L14" s="33"/>
      <c r="M14" s="33"/>
      <c r="N14" s="33"/>
      <c r="O14" s="68"/>
      <c r="P14" s="68"/>
    </row>
    <row r="15" spans="1:17">
      <c r="A15" s="32" t="s">
        <v>37</v>
      </c>
      <c r="B15" s="32" t="s">
        <v>38</v>
      </c>
      <c r="H15" s="62"/>
      <c r="I15" s="33"/>
      <c r="J15" s="33"/>
      <c r="K15" s="33"/>
      <c r="L15" s="33"/>
      <c r="M15" s="33"/>
      <c r="N15" s="33"/>
      <c r="O15" s="68"/>
      <c r="P15" s="68"/>
    </row>
    <row r="16" spans="1:17">
      <c r="B16" s="32" t="s">
        <v>39</v>
      </c>
      <c r="I16" s="33"/>
      <c r="J16" s="33"/>
      <c r="K16" s="33"/>
      <c r="L16" s="33"/>
      <c r="M16" s="33"/>
      <c r="N16" s="33"/>
      <c r="O16" s="68"/>
      <c r="P16" s="68"/>
    </row>
    <row r="17" spans="9:16">
      <c r="I17" s="33"/>
      <c r="J17" s="33"/>
      <c r="K17" s="33"/>
      <c r="L17" s="33"/>
      <c r="M17" s="33"/>
      <c r="N17" s="33"/>
      <c r="O17" s="68"/>
      <c r="P17" s="68"/>
    </row>
    <row r="18" spans="9:16">
      <c r="I18" s="33"/>
      <c r="J18" s="33"/>
      <c r="K18" s="33"/>
      <c r="L18" s="33"/>
      <c r="M18" s="33"/>
      <c r="N18" s="33"/>
      <c r="O18" s="68"/>
      <c r="P18" s="68"/>
    </row>
    <row r="19" spans="9:16">
      <c r="I19" s="33"/>
      <c r="J19" s="33"/>
      <c r="K19" s="33"/>
      <c r="L19" s="33"/>
      <c r="M19" s="33"/>
      <c r="N19" s="33"/>
      <c r="O19" s="68"/>
      <c r="P19" s="68"/>
    </row>
    <row r="20" spans="9:16">
      <c r="I20" s="33"/>
      <c r="J20" s="33"/>
      <c r="K20" s="33"/>
      <c r="L20" s="33"/>
      <c r="M20" s="33"/>
      <c r="N20" s="33"/>
      <c r="O20" s="68"/>
      <c r="P20" s="68"/>
    </row>
    <row r="21" spans="9:16">
      <c r="I21" s="33"/>
      <c r="J21" s="33"/>
      <c r="K21" s="33"/>
      <c r="L21" s="33"/>
      <c r="M21" s="33"/>
      <c r="N21" s="33"/>
      <c r="O21" s="68"/>
      <c r="P21" s="68"/>
    </row>
    <row r="22" spans="9:16">
      <c r="I22" s="33"/>
      <c r="J22" s="33"/>
      <c r="K22" s="33"/>
      <c r="L22" s="33"/>
      <c r="M22" s="33"/>
      <c r="N22" s="33"/>
      <c r="O22" s="68"/>
      <c r="P22" s="68"/>
    </row>
    <row r="23" spans="9:16">
      <c r="I23" s="33"/>
      <c r="J23" s="33"/>
      <c r="K23" s="33"/>
      <c r="L23" s="33"/>
      <c r="M23" s="33"/>
      <c r="N23" s="33"/>
      <c r="O23" s="68"/>
      <c r="P23" s="68"/>
    </row>
    <row r="24" spans="9:16">
      <c r="I24" s="33"/>
      <c r="J24" s="33"/>
      <c r="K24" s="33"/>
      <c r="L24" s="33"/>
      <c r="M24" s="33"/>
      <c r="N24" s="33"/>
      <c r="O24" s="68"/>
      <c r="P24" s="68"/>
    </row>
    <row r="25" spans="9:16">
      <c r="I25" s="33"/>
      <c r="J25" s="33"/>
      <c r="K25" s="33"/>
      <c r="L25" s="33"/>
      <c r="M25" s="33"/>
      <c r="N25" s="33"/>
      <c r="O25" s="68"/>
      <c r="P25" s="68"/>
    </row>
    <row r="26" spans="9:16">
      <c r="I26" s="33"/>
      <c r="J26" s="33"/>
      <c r="K26" s="33"/>
      <c r="L26" s="33"/>
      <c r="M26" s="33"/>
      <c r="N26" s="33"/>
      <c r="O26" s="68"/>
      <c r="P26" s="68"/>
    </row>
    <row r="27" spans="9:16">
      <c r="I27" s="33"/>
      <c r="J27" s="33"/>
      <c r="K27" s="33"/>
      <c r="L27" s="33"/>
      <c r="M27" s="33"/>
      <c r="N27" s="33"/>
      <c r="O27" s="68"/>
      <c r="P27" s="68"/>
    </row>
    <row r="28" spans="9:16">
      <c r="I28" s="33"/>
      <c r="J28" s="33"/>
      <c r="K28" s="33"/>
      <c r="L28" s="33"/>
      <c r="M28" s="33"/>
      <c r="N28" s="33"/>
      <c r="O28" s="68"/>
      <c r="P28" s="68"/>
    </row>
    <row r="29" spans="9:16">
      <c r="I29" s="33"/>
      <c r="J29" s="33"/>
      <c r="K29" s="33"/>
      <c r="L29" s="33"/>
      <c r="M29" s="33"/>
      <c r="N29" s="33"/>
      <c r="O29" s="68"/>
      <c r="P29" s="68"/>
    </row>
    <row r="30" spans="9:16">
      <c r="I30" s="33"/>
      <c r="J30" s="33"/>
      <c r="K30" s="33"/>
      <c r="L30" s="33"/>
      <c r="M30" s="33"/>
      <c r="N30" s="33"/>
      <c r="O30" s="68"/>
      <c r="P30" s="68"/>
    </row>
    <row r="31" spans="9:16">
      <c r="I31" s="33"/>
      <c r="J31" s="33"/>
      <c r="K31" s="33"/>
      <c r="L31" s="33"/>
      <c r="M31" s="33"/>
      <c r="N31" s="33"/>
      <c r="O31" s="68"/>
      <c r="P31" s="68"/>
    </row>
    <row r="32" spans="9:16">
      <c r="I32" s="33"/>
      <c r="J32" s="33"/>
      <c r="K32" s="33"/>
      <c r="L32" s="33"/>
      <c r="M32" s="33"/>
      <c r="N32" s="33"/>
      <c r="O32" s="68"/>
      <c r="P32" s="68"/>
    </row>
    <row r="33" spans="9:16">
      <c r="I33" s="33"/>
      <c r="J33" s="33"/>
      <c r="K33" s="33"/>
      <c r="L33" s="33"/>
      <c r="M33" s="33"/>
      <c r="N33" s="33"/>
      <c r="O33" s="68"/>
      <c r="P33" s="68"/>
    </row>
  </sheetData>
  <mergeCells count="25">
    <mergeCell ref="M1:O1"/>
    <mergeCell ref="I7:N7"/>
    <mergeCell ref="A1:A2"/>
    <mergeCell ref="A3:A7"/>
    <mergeCell ref="B1:B2"/>
    <mergeCell ref="B3:B7"/>
    <mergeCell ref="C1:C2"/>
    <mergeCell ref="C3:C7"/>
    <mergeCell ref="D1:D2"/>
    <mergeCell ref="D3:D7"/>
    <mergeCell ref="E1:E2"/>
    <mergeCell ref="E3:E7"/>
    <mergeCell ref="F1:F2"/>
    <mergeCell ref="F3:F7"/>
    <mergeCell ref="G1:G2"/>
    <mergeCell ref="G3:G7"/>
    <mergeCell ref="H1:H2"/>
    <mergeCell ref="H3:H7"/>
    <mergeCell ref="I1:I2"/>
    <mergeCell ref="I3:I4"/>
    <mergeCell ref="I5:I6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40</v>
      </c>
      <c r="B1" s="3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5" t="s">
        <v>53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51</v>
      </c>
      <c r="M2" s="8" t="s">
        <v>52</v>
      </c>
      <c r="N2" s="9"/>
    </row>
    <row r="3" ht="22" customHeight="1" spans="1:14">
      <c r="A3" s="10" t="s">
        <v>54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55</v>
      </c>
      <c r="H3" s="11">
        <v>0.03</v>
      </c>
      <c r="I3" s="10" t="s">
        <v>56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23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57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58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55</v>
      </c>
      <c r="H6" s="11">
        <v>0.03</v>
      </c>
      <c r="I6" s="10" t="s">
        <v>56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23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57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59</v>
      </c>
      <c r="B9" s="17"/>
      <c r="C9" s="17"/>
      <c r="D9" s="17"/>
      <c r="E9" s="18"/>
      <c r="F9" s="17"/>
      <c r="G9" s="17"/>
      <c r="H9" s="17"/>
      <c r="I9" s="10" t="s">
        <v>56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23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57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60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61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62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63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64</v>
      </c>
      <c r="B20" t="s">
        <v>65</v>
      </c>
      <c r="H20" s="26"/>
    </row>
    <row r="21" spans="1:9">
      <c r="B21" t="s">
        <v>66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A座10层房租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2023-08-07T11:00:00Z</dcterms:created>
  <dcterms:modified xsi:type="dcterms:W3CDTF">2026-05-08T02:31:22Z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7A7B6586DAA5497099820B4D266B303E_13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
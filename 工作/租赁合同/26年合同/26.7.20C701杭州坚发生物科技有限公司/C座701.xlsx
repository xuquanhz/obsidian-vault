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/>
  </bookViews>
  <sheets>
    <sheet name="A座10层房租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<sst xmlns="http://schemas.openxmlformats.org/spreadsheetml/2006/main" count="72" uniqueCount="63">
  <si>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</si>
  <si>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</si>
  <si>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</si>
  <si>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</si>
  <si>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</si>
  <si>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</si>
  <si>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</si>
  <si>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</si>
  <si>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</si>
  <si>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</si>
  <si>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</si>
  <si>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</si>
  <si>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</si>
  <si>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</si>
  <si>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</si>
  <si>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</si>
  <si>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r>
      <rPr>
        <b/>
        <sz val="12"/>
        <rFont val="Times New Roman"/>
        <charset val="134"/>
      </rPr>
      <t>C</t>
    </r>
    <r>
      <rPr>
        <b/>
        <sz val="12"/>
        <rFont val="宋体"/>
        <charset val="134"/>
      </rPr>
      <t>座</t>
    </r>
    <r>
      <rPr>
        <b/>
        <sz val="12"/>
        <rFont val="Times New Roman"/>
        <charset val="134"/>
      </rPr>
      <t>701</t>
    </r>
  </si>
  <si>
    <t>半年一付</t>
  </si>
  <si>
    <r>
      <rPr>
        <b/>
        <sz val="12"/>
        <rFont val="宋体"/>
        <charset val="134"/>
      </rPr>
      <t>第一年</t>
    </r>
  </si>
  <si>
    <t>2026.7.20-2027.1.19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</si>
  <si>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</si>
  <si>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2027.1.20-2027.7.19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</si>
  <si>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12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20</t>
    </r>
    <r>
      <rPr>
        <b/>
        <sz val="12"/>
        <rFont val="宋体"/>
        <charset val="134"/>
      </rPr>
      <t>日之前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</si>
  <si>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</si>
  <si>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</si>
  <si>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</si>
  <si>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</si>
  <si>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</si>
  <si>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</si>
  <si>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</si>
  <si>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</si>
  <si>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</si>
  <si>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</si>
  <si>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</si>
  <si>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</si>
  <si>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</si>
  <si>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</si>
  <si>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</si>
  <si>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</si>
  <si>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</si>
  <si>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</si>
  <si>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</si>
  <si>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</si>
  <si>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</si>
  <si>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</si>
  <si>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</si>
  <si>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</si>
  <si>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</si>
  <si>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</si>
  <si>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</si>
  <si>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一年一付</t>
  </si>
  <si>
    <t>第一年</t>
  </si>
  <si>
    <t>第二年</t>
  </si>
  <si>
    <t>第三年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</si>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</sst>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23" applyNumberFormat="0" applyAlignment="0" applyProtection="0">
      <alignment vertical="center"/>
    </xf>
    <xf numFmtId="0" fontId="22" fillId="6" borderId="24" applyNumberFormat="0" applyAlignment="0" applyProtection="0">
      <alignment vertical="center"/>
    </xf>
    <xf numFmtId="0" fontId="23" fillId="6" borderId="23" applyNumberFormat="0" applyAlignment="0" applyProtection="0">
      <alignment vertical="center"/>
    </xf>
    <xf numFmtId="0" fontId="24" fillId="7" borderId="25" applyNumberFormat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176" fontId="6" fillId="2" borderId="7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77" fontId="8" fillId="0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176" fontId="8" fillId="0" borderId="9" xfId="0" applyNumberFormat="1" applyFont="1" applyFill="1" applyBorder="1" applyAlignment="1">
      <alignment horizontal="center" vertical="center" wrapText="1"/>
    </xf>
    <xf numFmtId="176" fontId="8" fillId="0" borderId="9" xfId="0" applyNumberFormat="1" applyFont="1" applyFill="1" applyBorder="1" applyAlignment="1">
      <alignment horizontal="center" vertical="center"/>
    </xf>
    <xf numFmtId="177" fontId="8" fillId="0" borderId="9" xfId="0" applyNumberFormat="1" applyFont="1" applyFill="1" applyBorder="1" applyAlignment="1">
      <alignment horizontal="center" vertical="center"/>
    </xf>
    <xf numFmtId="177" fontId="8" fillId="0" borderId="15" xfId="0" applyNumberFormat="1" applyFont="1" applyFill="1" applyBorder="1" applyAlignment="1">
      <alignment horizontal="center" vertical="center"/>
    </xf>
    <xf numFmtId="0" fontId="5" fillId="0" borderId="16" xfId="0" applyFont="1" applyBorder="1">
      <alignment vertical="center"/>
    </xf>
    <xf numFmtId="0" fontId="8" fillId="0" borderId="17" xfId="0" applyFont="1" applyFill="1" applyBorder="1" applyAlignment="1">
      <alignment horizontal="center" vertical="center" wrapText="1"/>
    </xf>
    <xf numFmtId="177" fontId="8" fillId="0" borderId="17" xfId="0" applyNumberFormat="1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6" fontId="10" fillId="0" borderId="17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12" fillId="0" borderId="0" xfId="0" applyFont="1" applyBorder="1">
      <alignment vertical="center"/>
    </xf>
    <xf numFmtId="14" fontId="12" fillId="0" borderId="0" xfId="0" applyNumberFormat="1" applyFont="1" applyBorder="1">
      <alignment vertical="center"/>
    </xf>
    <xf numFmtId="14" fontId="5" fillId="0" borderId="0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31"/>
  <sheetViews>
    <sheetView tabSelected="1" zoomScale="89" zoomScaleNormal="89" workbookViewId="0">
      <selection activeCell="M15" sqref="M15"/>
    </sheetView>
  </sheetViews>
  <sheetFormatPr defaultColWidth="8.725" defaultRowHeight="15"/>
  <cols>
    <col min="1" max="2" width="15.3583333333333" style="33" customWidth="1"/>
    <col min="3" max="3" width="20.375" style="33" customWidth="1"/>
    <col min="4" max="6" width="13.9416666666667" style="33" customWidth="1"/>
    <col min="7" max="7" width="14" style="33"/>
    <col min="8" max="8" width="12.2083333333333" style="33" customWidth="1"/>
    <col min="9" max="9" width="10.6333333333333" style="33"/>
    <col min="10" max="10" width="12.6916666666667" style="33" customWidth="1"/>
    <col min="11" max="11" width="12.0666666666667" style="33" customWidth="1"/>
    <col min="12" max="12" width="31.6666666666667" style="33" customWidth="1"/>
    <col min="13" max="14" width="16.1333333333333" style="33" customWidth="1"/>
    <col min="15" max="15" width="16.1333333333333" style="35" customWidth="1"/>
    <col min="16" max="16" width="24.2916666666667" style="35" customWidth="1"/>
    <col min="17" max="17" width="8.725" style="33"/>
    <col min="18" max="18" width="12.8166666666667" style="33"/>
    <col min="19" max="16384" width="8.725" style="33"/>
  </cols>
  <sheetData>
    <row r="1" ht="31" customHeight="1" spans="1:110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/>
      <c r="K1" s="37" t="s">
        <v>9</v>
      </c>
      <c r="L1" s="37" t="s">
        <v>10</v>
      </c>
      <c r="M1" s="38" t="s">
        <v>11</v>
      </c>
      <c r="N1" s="38"/>
      <c r="O1" s="38"/>
      <c r="P1" s="37" t="s">
        <v>12</v>
      </c>
    </row>
    <row r="2" ht="31" customHeight="1" spans="1:110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1" t="s">
        <v>13</v>
      </c>
      <c r="N2" s="41" t="s">
        <v>14</v>
      </c>
      <c r="O2" s="40" t="s">
        <v>15</v>
      </c>
      <c r="P2" s="40"/>
    </row>
    <row r="3" s="32" customFormat="1" ht="28" customHeight="1" spans="1:110">
      <c r="A3" s="42" t="s">
        <v>16</v>
      </c>
      <c r="B3" s="42">
        <v>179.01</v>
      </c>
      <c r="C3" s="42">
        <v>1.9</v>
      </c>
      <c r="D3" s="42">
        <v>2</v>
      </c>
      <c r="E3" s="43">
        <f>(B3*C3*365/12)*D3</f>
        <v>20690.5725</v>
      </c>
      <c r="F3" s="42">
        <f>SUM(O3:O4)</f>
        <v>124144</v>
      </c>
      <c r="G3" s="44" t="s">
        <v>17</v>
      </c>
      <c r="H3" s="42">
        <v>0</v>
      </c>
      <c r="I3" s="42" t="s">
        <v>18</v>
      </c>
      <c r="J3" s="42">
        <v>1</v>
      </c>
      <c r="K3" s="45">
        <f>C3</f>
        <v>1.9</v>
      </c>
      <c r="L3" s="45" t="s">
        <v>19</v>
      </c>
      <c r="M3" s="46">
        <f>ROUND(O3/1.09,2)</f>
        <v>56946.79</v>
      </c>
      <c r="N3" s="46">
        <f>ROUND(O3-M3,2)</f>
        <v>5125.21</v>
      </c>
      <c r="O3" s="47">
        <f>ROUND(B3*K3*365/2,0)</f>
        <v>62072</v>
      </c>
      <c r="P3" s="48" t="s">
        <v>20</v>
      </c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49"/>
    </row>
    <row r="4" s="32" customFormat="1" ht="28" customHeight="1" spans="1:110">
      <c r="A4" s="42"/>
      <c r="B4" s="42"/>
      <c r="C4" s="42"/>
      <c r="D4" s="42"/>
      <c r="E4" s="43"/>
      <c r="F4" s="42"/>
      <c r="G4" s="42"/>
      <c r="H4" s="42"/>
      <c r="I4" s="42"/>
      <c r="J4" s="42">
        <v>2</v>
      </c>
      <c r="K4" s="45">
        <f>C3</f>
        <v>1.9</v>
      </c>
      <c r="L4" s="45" t="s">
        <v>21</v>
      </c>
      <c r="M4" s="46">
        <f>ROUND(O4/1.09,2)</f>
        <v>56946.79</v>
      </c>
      <c r="N4" s="46">
        <f>ROUND(O4-M4,2)</f>
        <v>5125.21</v>
      </c>
      <c r="O4" s="47">
        <f>ROUND(B3*K3*365/2,0)</f>
        <v>62072</v>
      </c>
      <c r="P4" s="48" t="s">
        <v>22</v>
      </c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49"/>
    </row>
    <row r="5" ht="28" customHeight="1" spans="1:110">
      <c r="A5" s="50"/>
      <c r="B5" s="50"/>
      <c r="C5" s="50"/>
      <c r="D5" s="50"/>
      <c r="E5" s="51"/>
      <c r="F5" s="50"/>
      <c r="G5" s="50"/>
      <c r="H5" s="50"/>
      <c r="I5" s="52" t="s">
        <v>23</v>
      </c>
      <c r="J5" s="52"/>
      <c r="K5" s="52"/>
      <c r="L5" s="52"/>
      <c r="M5" s="52"/>
      <c r="N5" s="52"/>
      <c r="O5" s="53">
        <f>SUM(O3:O4)</f>
        <v>124144</v>
      </c>
      <c r="P5" s="54"/>
      <c r="Q5" s="34"/>
    </row>
    <row r="6" ht="15.75" spans="1:110">
      <c r="B6" s="34"/>
      <c r="C6" s="34"/>
      <c r="D6" s="34"/>
      <c r="H6" s="34"/>
    </row>
    <row r="7" s="33" customFormat="1" ht="56" customHeight="1" spans="1:110">
      <c r="A7" s="36" t="s">
        <v>24</v>
      </c>
      <c r="B7" s="36" t="s">
        <v>25</v>
      </c>
      <c r="C7" s="36" t="s">
        <v>26</v>
      </c>
      <c r="D7" s="55" t="s">
        <v>27</v>
      </c>
      <c r="E7" s="56" t="s">
        <v>28</v>
      </c>
      <c r="F7" s="57" t="s">
        <v>29</v>
      </c>
      <c r="H7" s="58"/>
      <c r="I7" s="58"/>
      <c r="O7" s="35"/>
      <c r="P7" s="35"/>
    </row>
    <row r="8" s="33" customFormat="1" ht="59" customHeight="1" spans="1:110">
      <c r="A8" s="59" t="str">
        <f>A3</f>
        <v>C座701</v>
      </c>
      <c r="B8" s="42">
        <f>B3</f>
        <v>179.01</v>
      </c>
      <c r="C8" s="60" t="s">
        <v>30</v>
      </c>
      <c r="D8" s="42">
        <f>B3*10</f>
        <v>1790.1</v>
      </c>
      <c r="E8" s="61" t="s">
        <v>31</v>
      </c>
      <c r="F8" s="42">
        <f>B3*2</f>
        <v>358.02</v>
      </c>
      <c r="O8" s="35"/>
      <c r="P8" s="35"/>
    </row>
    <row r="9" s="34" customFormat="1" ht="21" customHeight="1" spans="1:110">
      <c r="A9" s="62"/>
      <c r="B9" s="63"/>
      <c r="C9" s="63"/>
      <c r="D9" s="62"/>
      <c r="I9" s="64"/>
      <c r="O9" s="65"/>
      <c r="P9" s="65"/>
    </row>
    <row r="10" s="34" customFormat="1" ht="21" customHeight="1" spans="1:110">
      <c r="A10" s="62"/>
      <c r="B10" s="63"/>
      <c r="C10" s="63"/>
      <c r="D10" s="62"/>
      <c r="H10" s="64"/>
      <c r="I10" s="64"/>
      <c r="O10" s="65"/>
      <c r="P10" s="65"/>
    </row>
    <row r="11" spans="1:110">
      <c r="B11" s="34"/>
      <c r="C11" s="34"/>
      <c r="H11" s="58"/>
      <c r="I11" s="58"/>
    </row>
    <row r="12" spans="1:110">
      <c r="I12" s="34"/>
      <c r="J12" s="34"/>
      <c r="K12" s="34"/>
      <c r="L12" s="34"/>
      <c r="M12" s="34"/>
      <c r="N12" s="34"/>
      <c r="O12" s="65"/>
      <c r="P12" s="65"/>
    </row>
    <row r="13" spans="1:110">
      <c r="A13" s="33" t="s">
        <v>32</v>
      </c>
      <c r="B13" s="33" t="s">
        <v>33</v>
      </c>
      <c r="H13" s="58"/>
      <c r="I13" s="34"/>
      <c r="J13" s="34"/>
      <c r="K13" s="34"/>
      <c r="L13" s="34"/>
      <c r="M13" s="34"/>
      <c r="N13" s="34"/>
      <c r="O13" s="65"/>
      <c r="P13" s="65"/>
    </row>
    <row r="14" spans="1:110">
      <c r="B14" s="33" t="s">
        <v>34</v>
      </c>
      <c r="I14" s="34"/>
      <c r="J14" s="34"/>
      <c r="K14" s="34"/>
      <c r="L14" s="34"/>
      <c r="M14" s="34"/>
      <c r="N14" s="34"/>
      <c r="O14" s="65"/>
      <c r="P14" s="65"/>
    </row>
    <row r="15" spans="1:110">
      <c r="I15" s="34"/>
      <c r="J15" s="34"/>
      <c r="K15" s="34"/>
      <c r="L15" s="34"/>
      <c r="M15" s="34"/>
      <c r="N15" s="34"/>
      <c r="O15" s="65"/>
      <c r="P15" s="65"/>
    </row>
    <row r="16" spans="1:110">
      <c r="I16" s="34"/>
      <c r="J16" s="34"/>
      <c r="K16" s="34"/>
      <c r="L16" s="34"/>
      <c r="M16" s="34"/>
      <c r="N16" s="34"/>
      <c r="O16" s="65"/>
      <c r="P16" s="65"/>
    </row>
    <row r="17" spans="9:16">
      <c r="I17" s="34"/>
      <c r="J17" s="34"/>
      <c r="K17" s="34"/>
      <c r="L17" s="34"/>
      <c r="M17" s="34"/>
      <c r="N17" s="34"/>
      <c r="O17" s="65"/>
      <c r="P17" s="65"/>
    </row>
    <row r="18" spans="9:16">
      <c r="I18" s="34"/>
      <c r="J18" s="34"/>
      <c r="K18" s="34"/>
      <c r="L18" s="34"/>
      <c r="M18" s="34"/>
      <c r="N18" s="34"/>
      <c r="O18" s="65"/>
      <c r="P18" s="65"/>
    </row>
    <row r="19" spans="9:16">
      <c r="I19" s="34"/>
      <c r="J19" s="34"/>
      <c r="K19" s="34"/>
      <c r="L19" s="34"/>
      <c r="M19" s="34"/>
      <c r="N19" s="34"/>
      <c r="O19" s="65"/>
      <c r="P19" s="65"/>
    </row>
    <row r="20" spans="9:16">
      <c r="I20" s="34"/>
      <c r="J20" s="34"/>
      <c r="K20" s="34"/>
      <c r="L20" s="34"/>
      <c r="M20" s="34"/>
      <c r="N20" s="34"/>
      <c r="O20" s="65"/>
      <c r="P20" s="65"/>
    </row>
    <row r="21" spans="9:16">
      <c r="I21" s="34"/>
      <c r="J21" s="34"/>
      <c r="K21" s="34"/>
      <c r="L21" s="34"/>
      <c r="M21" s="34"/>
      <c r="N21" s="34"/>
      <c r="O21" s="65"/>
      <c r="P21" s="65"/>
    </row>
    <row r="22" spans="9:16">
      <c r="I22" s="34"/>
      <c r="J22" s="34"/>
      <c r="K22" s="34"/>
      <c r="L22" s="34"/>
      <c r="M22" s="34"/>
      <c r="N22" s="34"/>
      <c r="O22" s="65"/>
      <c r="P22" s="65"/>
    </row>
    <row r="23" spans="9:16">
      <c r="I23" s="34"/>
      <c r="J23" s="34"/>
      <c r="K23" s="34"/>
      <c r="L23" s="34"/>
      <c r="M23" s="34"/>
      <c r="N23" s="34"/>
      <c r="O23" s="65"/>
      <c r="P23" s="65"/>
    </row>
    <row r="24" spans="9:16">
      <c r="I24" s="34"/>
      <c r="J24" s="34"/>
      <c r="K24" s="34"/>
      <c r="L24" s="34"/>
      <c r="M24" s="34"/>
      <c r="N24" s="34"/>
      <c r="O24" s="65"/>
      <c r="P24" s="65"/>
    </row>
    <row r="25" spans="9:16">
      <c r="I25" s="34"/>
      <c r="J25" s="34"/>
      <c r="K25" s="34"/>
      <c r="L25" s="34"/>
      <c r="M25" s="34"/>
      <c r="N25" s="34"/>
      <c r="O25" s="65"/>
      <c r="P25" s="65"/>
    </row>
    <row r="26" spans="9:16">
      <c r="I26" s="34"/>
      <c r="J26" s="34"/>
      <c r="K26" s="34"/>
      <c r="L26" s="34"/>
      <c r="M26" s="34"/>
      <c r="N26" s="34"/>
      <c r="O26" s="65"/>
      <c r="P26" s="65"/>
    </row>
    <row r="27" spans="9:16">
      <c r="I27" s="34"/>
      <c r="J27" s="34"/>
      <c r="K27" s="34"/>
      <c r="L27" s="34"/>
      <c r="M27" s="34"/>
      <c r="N27" s="34"/>
      <c r="O27" s="65"/>
      <c r="P27" s="65"/>
    </row>
    <row r="28" spans="9:16">
      <c r="I28" s="34"/>
      <c r="J28" s="34"/>
      <c r="K28" s="34"/>
      <c r="L28" s="34"/>
      <c r="M28" s="34"/>
      <c r="N28" s="34"/>
      <c r="O28" s="65"/>
      <c r="P28" s="65"/>
    </row>
    <row r="29" spans="9:16">
      <c r="I29" s="34"/>
      <c r="J29" s="34"/>
      <c r="K29" s="34"/>
      <c r="L29" s="34"/>
      <c r="M29" s="34"/>
      <c r="N29" s="34"/>
      <c r="O29" s="65"/>
      <c r="P29" s="65"/>
    </row>
    <row r="30" spans="9:16">
      <c r="I30" s="34"/>
      <c r="J30" s="34"/>
      <c r="K30" s="34"/>
      <c r="L30" s="34"/>
      <c r="M30" s="34"/>
      <c r="N30" s="34"/>
      <c r="O30" s="65"/>
      <c r="P30" s="65"/>
    </row>
    <row r="31" spans="9:16">
      <c r="I31" s="34"/>
      <c r="J31" s="34"/>
      <c r="K31" s="34"/>
      <c r="L31" s="34"/>
      <c r="M31" s="34"/>
      <c r="N31" s="34"/>
      <c r="O31" s="65"/>
      <c r="P31" s="65"/>
    </row>
  </sheetData>
  <mergeCells count="24">
    <mergeCell ref="M1:O1"/>
    <mergeCell ref="I5:N5"/>
    <mergeCell ref="A1:A2"/>
    <mergeCell ref="A3:A5"/>
    <mergeCell ref="B1:B2"/>
    <mergeCell ref="B3:B5"/>
    <mergeCell ref="C1:C2"/>
    <mergeCell ref="C3:C5"/>
    <mergeCell ref="D1:D2"/>
    <mergeCell ref="D3:D5"/>
    <mergeCell ref="E1:E2"/>
    <mergeCell ref="E3:E5"/>
    <mergeCell ref="F1:F2"/>
    <mergeCell ref="F3:F5"/>
    <mergeCell ref="G1:G2"/>
    <mergeCell ref="G3:G5"/>
    <mergeCell ref="H1:H2"/>
    <mergeCell ref="H3:H5"/>
    <mergeCell ref="I1:I2"/>
    <mergeCell ref="I3:I4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35</v>
      </c>
      <c r="B1" s="3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5" t="s">
        <v>48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46</v>
      </c>
      <c r="M2" s="8" t="s">
        <v>47</v>
      </c>
      <c r="N2" s="9"/>
    </row>
    <row r="3" ht="22" customHeight="1" spans="1:14">
      <c r="A3" s="10" t="s">
        <v>49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50</v>
      </c>
      <c r="H3" s="11">
        <v>0.03</v>
      </c>
      <c r="I3" s="10" t="s">
        <v>51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52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53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54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50</v>
      </c>
      <c r="H6" s="11">
        <v>0.03</v>
      </c>
      <c r="I6" s="10" t="s">
        <v>51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52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53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55</v>
      </c>
      <c r="B9" s="17"/>
      <c r="C9" s="17"/>
      <c r="D9" s="17"/>
      <c r="E9" s="18"/>
      <c r="F9" s="17"/>
      <c r="G9" s="17"/>
      <c r="H9" s="17"/>
      <c r="I9" s="10" t="s">
        <v>51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52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53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56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57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58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59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60</v>
      </c>
      <c r="B20" t="s">
        <v>61</v>
      </c>
      <c r="H20" s="26"/>
    </row>
    <row r="21" spans="1:9">
      <c r="B21" t="s">
        <v>62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A座10层房租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2023-08-07T11:00:00Z</dcterms:created>
  <dcterms:modified xsi:type="dcterms:W3CDTF">2026-05-09T07:05:00Z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CE83E2326C734636A9ECE7F3F9114519_13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
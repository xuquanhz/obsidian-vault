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1865" firstSheet="1"/>
  </bookViews>
  <sheets>
    <sheet name="租金测算表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<sst xmlns="http://schemas.openxmlformats.org/spreadsheetml/2006/main" count="78" uniqueCount="65">
  <si>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</si>
  <si>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</si>
  <si>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</si>
  <si>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</si>
  <si>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</si>
  <si>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</si>
  <si>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</si>
  <si>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</si>
  <si>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</si>
  <si>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</si>
  <si>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</si>
  <si>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</si>
  <si>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</si>
  <si>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</si>
  <si>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</si>
  <si>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</si>
  <si>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t>B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213</t>
    </r>
    <r>
      <rPr>
        <b/>
        <sz val="12"/>
        <rFont val="宋体"/>
        <charset val="134"/>
      </rPr>
      <t>、</t>
    </r>
    <r>
      <rPr>
        <b/>
        <sz val="12"/>
        <rFont val="Times New Roman"/>
        <charset val="134"/>
      </rPr>
      <t>214</t>
    </r>
  </si>
  <si>
    <t>一年一付</t>
  </si>
  <si>
    <t>第一年</t>
  </si>
  <si>
    <t>2026.6.1-2026.12.31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</si>
  <si>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</si>
  <si>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第二年</t>
  </si>
  <si>
    <t>2027.1.1-2027.12.31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</si>
  <si>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</si>
  <si>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t>第三年</t>
  </si>
  <si>
    <t>2028.1.1-2028.12.31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</si>
  <si>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</si>
  <si>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</si>
  <si>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</si>
  <si>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</si>
  <si>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</si>
  <si>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</si>
  <si>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</si>
  <si>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</si>
  <si>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t>押金总计</t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</si>
  <si>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</si>
  <si>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</si>
  <si>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</si>
  <si>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</si>
  <si>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</si>
  <si>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黄色标注为首期应付款</t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</si>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</sst>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5" applyNumberFormat="0" applyAlignment="0" applyProtection="0">
      <alignment vertical="center"/>
    </xf>
    <xf numFmtId="0" fontId="25" fillId="7" borderId="24" applyNumberFormat="0" applyAlignment="0" applyProtection="0">
      <alignment vertical="center"/>
    </xf>
    <xf numFmtId="0" fontId="26" fillId="8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4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4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0" fontId="14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89" zoomScaleNormal="89" workbookViewId="0">
      <selection activeCell="N9" sqref="N9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146.49</v>
      </c>
      <c r="C3" s="42">
        <v>3</v>
      </c>
      <c r="D3" s="42">
        <v>2</v>
      </c>
      <c r="E3" s="43">
        <f>(B3*C3*365/12)*D3</f>
        <v>26734.425</v>
      </c>
      <c r="F3" s="42">
        <f>O6</f>
        <v>414861</v>
      </c>
      <c r="G3" s="44" t="s">
        <v>17</v>
      </c>
      <c r="H3" s="42">
        <v>0</v>
      </c>
      <c r="I3" s="44" t="s">
        <v>18</v>
      </c>
      <c r="J3" s="45">
        <v>1</v>
      </c>
      <c r="K3" s="46">
        <f>C3</f>
        <v>3</v>
      </c>
      <c r="L3" s="46" t="s">
        <v>19</v>
      </c>
      <c r="M3" s="47">
        <f>ROUND(O3/1.09,2)</f>
        <v>86281.65</v>
      </c>
      <c r="N3" s="47">
        <f>ROUND(O3-M3,2)</f>
        <v>7765.35</v>
      </c>
      <c r="O3" s="48">
        <v>94047</v>
      </c>
      <c r="P3" s="49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4" t="s">
        <v>21</v>
      </c>
      <c r="J4" s="42">
        <v>2</v>
      </c>
      <c r="K4" s="50">
        <f>C3</f>
        <v>3</v>
      </c>
      <c r="L4" s="46" t="s">
        <v>22</v>
      </c>
      <c r="M4" s="51">
        <f>ROUND(O4/1.09,2)</f>
        <v>147162.39</v>
      </c>
      <c r="N4" s="47">
        <f>ROUND(O4-M4,2)</f>
        <v>13244.61</v>
      </c>
      <c r="O4" s="52">
        <f>ROUND(B3*K5*365,0)</f>
        <v>160407</v>
      </c>
      <c r="P4" s="53" t="s">
        <v>23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4" t="s">
        <v>24</v>
      </c>
      <c r="J5" s="45">
        <v>3</v>
      </c>
      <c r="K5" s="55">
        <f>C3</f>
        <v>3</v>
      </c>
      <c r="L5" s="46" t="s">
        <v>25</v>
      </c>
      <c r="M5" s="56">
        <f>ROUND(O5/1.09,2)</f>
        <v>147162.39</v>
      </c>
      <c r="N5" s="57">
        <f>ROUND(O5-M5,2)</f>
        <v>13244.61</v>
      </c>
      <c r="O5" s="58">
        <f>ROUND(B3*K5*365,0)</f>
        <v>160407</v>
      </c>
      <c r="P5" s="53" t="s">
        <v>26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6" t="s">
        <v>27</v>
      </c>
      <c r="J6" s="56"/>
      <c r="K6" s="56"/>
      <c r="L6" s="56"/>
      <c r="M6" s="56"/>
      <c r="N6" s="56"/>
      <c r="O6" s="58">
        <f>SUM(O3:O5)</f>
        <v>414861</v>
      </c>
      <c r="P6" s="59"/>
      <c r="Q6" s="33"/>
    </row>
    <row r="7" ht="15.75" spans="1:17">
      <c r="B7" s="33"/>
      <c r="C7" s="33"/>
      <c r="D7" s="33"/>
      <c r="H7" s="33"/>
    </row>
    <row r="8" s="32" customFormat="1" ht="56" customHeight="1" spans="1:17">
      <c r="A8" s="35" t="s">
        <v>28</v>
      </c>
      <c r="B8" s="35" t="s">
        <v>29</v>
      </c>
      <c r="C8" s="35" t="s">
        <v>30</v>
      </c>
      <c r="D8" s="60" t="s">
        <v>31</v>
      </c>
      <c r="E8" s="61" t="s">
        <v>32</v>
      </c>
      <c r="F8" s="62" t="s">
        <v>33</v>
      </c>
      <c r="G8" s="62" t="s">
        <v>34</v>
      </c>
      <c r="H8" s="63"/>
      <c r="I8" s="63"/>
      <c r="O8" s="34"/>
      <c r="P8" s="34"/>
    </row>
    <row r="9" s="32" customFormat="1" ht="59" customHeight="1" spans="1:17">
      <c r="A9" s="56" t="str">
        <f>A3</f>
        <v>B座213、214</v>
      </c>
      <c r="B9" s="42">
        <f>B3</f>
        <v>146.49</v>
      </c>
      <c r="C9" s="64" t="s">
        <v>35</v>
      </c>
      <c r="D9" s="42">
        <f>B3*10</f>
        <v>1464.9</v>
      </c>
      <c r="E9" s="65" t="s">
        <v>36</v>
      </c>
      <c r="F9" s="42">
        <f>B3*2</f>
        <v>292.98</v>
      </c>
      <c r="G9" s="66">
        <f>D9+F9</f>
        <v>1757.88</v>
      </c>
      <c r="O9" s="34"/>
      <c r="P9" s="34"/>
    </row>
    <row r="10" s="33" customFormat="1" ht="21" customHeight="1" spans="1:17">
      <c r="A10" s="67"/>
      <c r="B10" s="68"/>
      <c r="C10" s="68"/>
      <c r="D10" s="67"/>
      <c r="I10" s="69"/>
      <c r="O10" s="70"/>
      <c r="P10" s="70"/>
    </row>
    <row r="11" s="33" customFormat="1" ht="21" customHeight="1" spans="1:17">
      <c r="A11" s="67"/>
      <c r="B11" s="68"/>
      <c r="C11" s="68"/>
      <c r="D11" s="67"/>
      <c r="H11" s="69"/>
      <c r="I11" s="69"/>
      <c r="O11" s="70"/>
      <c r="P11" s="70"/>
    </row>
    <row r="12" spans="1:17">
      <c r="B12" s="33"/>
      <c r="C12" s="33"/>
      <c r="H12" s="63"/>
      <c r="I12" s="63"/>
    </row>
    <row r="13" spans="1:17">
      <c r="I13" s="33"/>
      <c r="J13" s="33"/>
      <c r="K13" s="33"/>
      <c r="L13" s="33"/>
      <c r="M13" s="33"/>
      <c r="N13" s="33"/>
      <c r="O13" s="70"/>
      <c r="P13" s="70"/>
    </row>
    <row r="14" spans="1:17">
      <c r="A14" s="32" t="s">
        <v>37</v>
      </c>
      <c r="B14" s="32" t="s">
        <v>38</v>
      </c>
      <c r="H14" s="63"/>
      <c r="I14" s="33"/>
      <c r="J14" s="33"/>
      <c r="K14" s="33"/>
      <c r="L14" s="33"/>
      <c r="M14" s="33"/>
      <c r="N14" s="33"/>
      <c r="O14" s="70"/>
      <c r="P14" s="70"/>
    </row>
    <row r="15" spans="1:17">
      <c r="B15" s="32" t="s">
        <v>39</v>
      </c>
      <c r="I15" s="33"/>
      <c r="J15" s="33"/>
      <c r="K15" s="33"/>
      <c r="L15" s="33"/>
      <c r="M15" s="33"/>
      <c r="N15" s="33"/>
      <c r="O15" s="70"/>
      <c r="P15" s="70"/>
    </row>
    <row r="16" spans="1:17">
      <c r="I16" s="33"/>
      <c r="J16" s="33"/>
      <c r="K16" s="33"/>
      <c r="L16" s="33"/>
      <c r="M16" s="33"/>
      <c r="N16" s="33"/>
      <c r="O16" s="70"/>
      <c r="P16" s="70"/>
    </row>
    <row r="17" spans="2:16">
      <c r="I17" s="33"/>
      <c r="J17" s="33"/>
      <c r="K17" s="33"/>
      <c r="L17" s="33"/>
      <c r="M17" s="33"/>
      <c r="N17" s="33"/>
      <c r="O17" s="70"/>
      <c r="P17" s="70"/>
    </row>
    <row r="18" spans="2:16">
      <c r="B18" s="71" t="s">
        <v>40</v>
      </c>
      <c r="I18" s="33"/>
      <c r="J18" s="33"/>
      <c r="K18" s="33"/>
      <c r="L18" s="33"/>
      <c r="M18" s="33"/>
      <c r="N18" s="33"/>
      <c r="O18" s="70"/>
      <c r="P18" s="70"/>
    </row>
    <row r="19" spans="2:16">
      <c r="I19" s="33"/>
      <c r="J19" s="33"/>
      <c r="K19" s="33"/>
      <c r="L19" s="33"/>
      <c r="M19" s="33"/>
      <c r="N19" s="33"/>
      <c r="O19" s="70"/>
      <c r="P19" s="70"/>
    </row>
    <row r="20" spans="2:16">
      <c r="I20" s="33"/>
      <c r="J20" s="33"/>
      <c r="K20" s="33"/>
      <c r="L20" s="33"/>
      <c r="M20" s="33"/>
      <c r="N20" s="33"/>
      <c r="O20" s="70"/>
      <c r="P20" s="70"/>
    </row>
    <row r="21" spans="2:16">
      <c r="I21" s="33"/>
      <c r="J21" s="33"/>
      <c r="K21" s="33"/>
      <c r="L21" s="33"/>
      <c r="M21" s="33"/>
      <c r="N21" s="33"/>
      <c r="O21" s="70"/>
      <c r="P21" s="70"/>
    </row>
    <row r="22" spans="2:16">
      <c r="I22" s="33"/>
      <c r="J22" s="33"/>
      <c r="K22" s="33"/>
      <c r="L22" s="33"/>
      <c r="M22" s="33"/>
      <c r="N22" s="33"/>
      <c r="O22" s="70"/>
      <c r="P22" s="70"/>
    </row>
    <row r="23" spans="2:16">
      <c r="I23" s="33"/>
      <c r="J23" s="33"/>
      <c r="K23" s="33"/>
      <c r="L23" s="33"/>
      <c r="M23" s="33"/>
      <c r="N23" s="33"/>
      <c r="O23" s="70"/>
      <c r="P23" s="70"/>
    </row>
    <row r="24" spans="2:16">
      <c r="I24" s="33"/>
      <c r="J24" s="33"/>
      <c r="K24" s="33"/>
      <c r="L24" s="33"/>
      <c r="M24" s="33"/>
      <c r="N24" s="33"/>
      <c r="O24" s="70"/>
      <c r="P24" s="70"/>
    </row>
    <row r="25" spans="2:16">
      <c r="I25" s="33"/>
      <c r="J25" s="33"/>
      <c r="K25" s="33"/>
      <c r="L25" s="33"/>
      <c r="M25" s="33"/>
      <c r="N25" s="33"/>
      <c r="O25" s="70"/>
      <c r="P25" s="70"/>
    </row>
    <row r="26" spans="2:16">
      <c r="I26" s="33"/>
      <c r="J26" s="33"/>
      <c r="K26" s="33"/>
      <c r="L26" s="33"/>
      <c r="M26" s="33"/>
      <c r="N26" s="33"/>
      <c r="O26" s="70"/>
      <c r="P26" s="70"/>
    </row>
    <row r="27" spans="2:16">
      <c r="I27" s="33"/>
      <c r="J27" s="33"/>
      <c r="K27" s="33"/>
      <c r="L27" s="33"/>
      <c r="M27" s="33"/>
      <c r="N27" s="33"/>
      <c r="O27" s="70"/>
      <c r="P27" s="70"/>
    </row>
    <row r="28" spans="2:16">
      <c r="I28" s="33"/>
      <c r="J28" s="33"/>
      <c r="K28" s="33"/>
      <c r="L28" s="33"/>
      <c r="M28" s="33"/>
      <c r="N28" s="33"/>
      <c r="O28" s="70"/>
      <c r="P28" s="70"/>
    </row>
    <row r="29" spans="2:16">
      <c r="I29" s="33"/>
      <c r="J29" s="33"/>
      <c r="K29" s="33"/>
      <c r="L29" s="33"/>
      <c r="M29" s="33"/>
      <c r="N29" s="33"/>
      <c r="O29" s="70"/>
      <c r="P29" s="70"/>
    </row>
    <row r="30" spans="2:16">
      <c r="I30" s="33"/>
      <c r="J30" s="33"/>
      <c r="K30" s="33"/>
      <c r="L30" s="33"/>
      <c r="M30" s="33"/>
      <c r="N30" s="33"/>
      <c r="O30" s="70"/>
      <c r="P30" s="70"/>
    </row>
    <row r="31" spans="2:16">
      <c r="I31" s="33"/>
      <c r="J31" s="33"/>
      <c r="K31" s="33"/>
      <c r="L31" s="33"/>
      <c r="M31" s="33"/>
      <c r="N31" s="33"/>
      <c r="O31" s="70"/>
      <c r="P31" s="70"/>
    </row>
    <row r="32" spans="2:16">
      <c r="I32" s="33"/>
      <c r="J32" s="33"/>
      <c r="K32" s="33"/>
      <c r="L32" s="33"/>
      <c r="M32" s="33"/>
      <c r="N32" s="33"/>
      <c r="O32" s="70"/>
      <c r="P32" s="70"/>
    </row>
  </sheetData>
  <mergeCells count="23">
    <mergeCell ref="M1:O1"/>
    <mergeCell ref="I6:N6"/>
    <mergeCell ref="A1:A2"/>
    <mergeCell ref="A3:A6"/>
    <mergeCell ref="B1:B2"/>
    <mergeCell ref="B3:B6"/>
    <mergeCell ref="C1:C2"/>
    <mergeCell ref="C3:C6"/>
    <mergeCell ref="D1:D2"/>
    <mergeCell ref="D3:D6"/>
    <mergeCell ref="E1:E2"/>
    <mergeCell ref="E3:E6"/>
    <mergeCell ref="F1:F2"/>
    <mergeCell ref="F3:F6"/>
    <mergeCell ref="G1:G2"/>
    <mergeCell ref="G3:G6"/>
    <mergeCell ref="H1:H2"/>
    <mergeCell ref="H3:H6"/>
    <mergeCell ref="I1:I2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L3" sqref="L3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41</v>
      </c>
      <c r="B1" s="3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5" t="s">
        <v>54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52</v>
      </c>
      <c r="M2" s="8" t="s">
        <v>53</v>
      </c>
      <c r="N2" s="9"/>
    </row>
    <row r="3" ht="22" customHeight="1" spans="1:14">
      <c r="A3" s="10" t="s">
        <v>55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17</v>
      </c>
      <c r="H3" s="11">
        <v>0.03</v>
      </c>
      <c r="I3" s="10" t="s">
        <v>18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21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24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17</v>
      </c>
      <c r="H6" s="11">
        <v>0.03</v>
      </c>
      <c r="I6" s="10" t="s">
        <v>18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21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24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57</v>
      </c>
      <c r="B9" s="17"/>
      <c r="C9" s="17"/>
      <c r="D9" s="17"/>
      <c r="E9" s="18"/>
      <c r="F9" s="17"/>
      <c r="G9" s="17"/>
      <c r="H9" s="17"/>
      <c r="I9" s="10" t="s">
        <v>18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21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24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58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59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62</v>
      </c>
      <c r="B20" t="s">
        <v>63</v>
      </c>
      <c r="H20" s="26"/>
    </row>
    <row r="21" spans="1:9">
      <c r="B21" t="s">
        <v>64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租金测算表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2026-05-09T07:29:48Z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DE8FA87D7605457695B66FDACD3C310F_13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
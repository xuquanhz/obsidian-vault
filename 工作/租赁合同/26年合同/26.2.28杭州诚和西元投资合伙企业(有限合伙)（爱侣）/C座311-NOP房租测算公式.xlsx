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835" windowHeight="8355" firstSheet="1"/>
  </bookViews>
  <sheets>
    <sheet name="C座311NOP房租" sheetId="1" r:id="rId1"/>
    <sheet name="3年测算 (一年一付) (2)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comments2.xml><?xml version="1.0" encoding="utf-8"?>
<comments xmlns="http://schemas.openxmlformats.org/spreadsheetml/2006/main">
  <authors>
    <author>15149</author>
  </authors>
  <commentList>
    <comment ref="A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  <comment ref="K1" authorId="0">
      <text>
        <r>
          <rPr>
            <b/>
            <sz val="9"/>
            <rFont val="宋体"/>
            <charset val="134"/>
          </rPr>
          <t>15149:</t>
        </r>
        <r>
          <rPr>
            <sz val="9"/>
            <rFont val="宋体"/>
            <charset val="134"/>
          </rPr>
          <t xml:space="preserve">
</t>
        </r>
        <r>
          <rPr>
            <sz val="14"/>
            <rFont val="宋体"/>
            <charset val="134"/>
          </rPr>
          <t>选填</t>
        </r>
      </text>
    </comment>
  </commentList>
</comments>
</file>

<file path=xl/sharedStrings.xml><?xml version="1.0" encoding="utf-8"?>
<sst xmlns="http://schemas.openxmlformats.org/spreadsheetml/2006/main" count="85" uniqueCount="75">
  <si>
    <r>
      <rPr>
        <b/>
        <sz val="14"/>
        <rFont val="宋体"/>
        <charset val="134"/>
      </rPr>
      <t>出租房间</t>
    </r>
  </si>
  <si>
    <r>
      <rPr>
        <b/>
        <sz val="14"/>
        <rFont val="宋体"/>
        <charset val="134"/>
      </rPr>
      <t>租赁面积（㎡）</t>
    </r>
  </si>
  <si>
    <r>
      <rPr>
        <b/>
        <sz val="14"/>
        <rFont val="宋体"/>
        <charset val="134"/>
      </rPr>
      <t>首年租金标准</t>
    </r>
  </si>
  <si>
    <r>
      <rPr>
        <b/>
        <sz val="14"/>
        <rFont val="宋体"/>
        <charset val="134"/>
      </rPr>
      <t>履约保证金标准（月）</t>
    </r>
  </si>
  <si>
    <r>
      <rPr>
        <b/>
        <sz val="14"/>
        <rFont val="宋体"/>
        <charset val="134"/>
      </rPr>
      <t>保证金（元）</t>
    </r>
  </si>
  <si>
    <r>
      <rPr>
        <b/>
        <sz val="14"/>
        <rFont val="宋体"/>
        <charset val="134"/>
      </rPr>
      <t>合同金额（元）</t>
    </r>
  </si>
  <si>
    <r>
      <rPr>
        <b/>
        <sz val="14"/>
        <rFont val="宋体"/>
        <charset val="134"/>
      </rPr>
      <t>付款方式</t>
    </r>
  </si>
  <si>
    <r>
      <rPr>
        <b/>
        <sz val="14"/>
        <rFont val="宋体"/>
        <charset val="134"/>
      </rPr>
      <t>租金递增费率</t>
    </r>
  </si>
  <si>
    <r>
      <rPr>
        <b/>
        <sz val="14"/>
        <rFont val="宋体"/>
        <charset val="134"/>
      </rPr>
      <t>期数</t>
    </r>
  </si>
  <si>
    <r>
      <rPr>
        <b/>
        <sz val="14"/>
        <rFont val="宋体"/>
        <charset val="134"/>
      </rPr>
      <t>租金单价</t>
    </r>
  </si>
  <si>
    <r>
      <rPr>
        <b/>
        <sz val="14"/>
        <rFont val="宋体"/>
        <charset val="134"/>
      </rPr>
      <t>费用起止时间</t>
    </r>
  </si>
  <si>
    <r>
      <rPr>
        <b/>
        <sz val="14"/>
        <color theme="1"/>
        <rFont val="宋体"/>
        <charset val="134"/>
      </rPr>
      <t>租金</t>
    </r>
  </si>
  <si>
    <r>
      <rPr>
        <b/>
        <sz val="14"/>
        <rFont val="宋体"/>
        <charset val="134"/>
      </rPr>
      <t>应付款日期</t>
    </r>
  </si>
  <si>
    <r>
      <rPr>
        <b/>
        <sz val="14"/>
        <rFont val="宋体"/>
        <charset val="134"/>
      </rPr>
      <t>不含税</t>
    </r>
  </si>
  <si>
    <r>
      <rPr>
        <b/>
        <sz val="14"/>
        <rFont val="宋体"/>
        <charset val="134"/>
      </rPr>
      <t>税金</t>
    </r>
  </si>
  <si>
    <r>
      <rPr>
        <b/>
        <sz val="14"/>
        <rFont val="宋体"/>
        <charset val="134"/>
      </rPr>
      <t>金额（元）</t>
    </r>
  </si>
  <si>
    <r>
      <rPr>
        <b/>
        <sz val="12"/>
        <rFont val="Times New Roman"/>
        <charset val="134"/>
      </rPr>
      <t>C</t>
    </r>
    <r>
      <rPr>
        <b/>
        <sz val="12"/>
        <rFont val="宋体"/>
        <charset val="134"/>
      </rPr>
      <t>座</t>
    </r>
    <r>
      <rPr>
        <b/>
        <sz val="12"/>
        <rFont val="Times New Roman"/>
        <charset val="134"/>
      </rPr>
      <t>311-N/O/P</t>
    </r>
  </si>
  <si>
    <t>三个月一付</t>
  </si>
  <si>
    <r>
      <rPr>
        <b/>
        <sz val="12"/>
        <rFont val="宋体"/>
        <charset val="134"/>
      </rPr>
      <t>第一年</t>
    </r>
  </si>
  <si>
    <t>2026.2.28-2026.5.27</t>
  </si>
  <si>
    <r>
      <rPr>
        <b/>
        <sz val="12"/>
        <rFont val="宋体"/>
        <charset val="134"/>
      </rPr>
      <t>本合同签约之日起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天内</t>
    </r>
  </si>
  <si>
    <t>2026.5.28-2026.8.27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</si>
  <si>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4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28</t>
    </r>
    <r>
      <rPr>
        <b/>
        <sz val="12"/>
        <rFont val="宋体"/>
        <charset val="134"/>
      </rPr>
      <t>日之前</t>
    </r>
  </si>
  <si>
    <t>2026.8.28-2026.11.27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</si>
  <si>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7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28</t>
    </r>
    <r>
      <rPr>
        <b/>
        <sz val="12"/>
        <rFont val="宋体"/>
        <charset val="134"/>
      </rPr>
      <t>日之前</t>
    </r>
  </si>
  <si>
    <t>2026.11.28-2027.2.27</t>
  </si>
  <si>
    <r>
      <rPr>
        <b/>
        <sz val="12"/>
        <rFont val="Times New Roman"/>
        <charset val="134"/>
      </rPr>
      <t>2026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28</t>
    </r>
    <r>
      <rPr>
        <b/>
        <sz val="12"/>
        <rFont val="宋体"/>
        <charset val="134"/>
      </rPr>
      <t>日之前</t>
    </r>
  </si>
  <si>
    <t>第二年</t>
  </si>
  <si>
    <t>2027.2.28-2027.5.27</t>
  </si>
  <si>
    <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28</t>
    </r>
    <r>
      <rPr>
        <b/>
        <sz val="12"/>
        <rFont val="宋体"/>
        <charset val="134"/>
      </rPr>
      <t>日之前</t>
    </r>
  </si>
  <si>
    <t>2027.5.28-2027.8.27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</si>
  <si>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4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28</t>
    </r>
    <r>
      <rPr>
        <b/>
        <sz val="12"/>
        <rFont val="宋体"/>
        <charset val="134"/>
      </rPr>
      <t>日之前</t>
    </r>
  </si>
  <si>
    <t>2027.8.28-2027.11.27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</si>
  <si>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7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28</t>
    </r>
    <r>
      <rPr>
        <b/>
        <sz val="12"/>
        <rFont val="宋体"/>
        <charset val="134"/>
      </rPr>
      <t>日之前</t>
    </r>
  </si>
  <si>
    <t>2027.11.28-2028.2.27</t>
  </si>
  <si>
    <r>
      <rPr>
        <b/>
        <sz val="12"/>
        <rFont val="Times New Roman"/>
        <charset val="134"/>
      </rPr>
      <t>2027</t>
    </r>
    <r>
      <rPr>
        <b/>
        <sz val="12"/>
        <rFont val="宋体"/>
        <charset val="134"/>
      </rPr>
      <t>年</t>
    </r>
    <r>
      <rPr>
        <b/>
        <sz val="12"/>
        <rFont val="Times New Roman"/>
        <charset val="134"/>
      </rPr>
      <t>10</t>
    </r>
    <r>
      <rPr>
        <b/>
        <sz val="12"/>
        <rFont val="宋体"/>
        <charset val="134"/>
      </rPr>
      <t>月</t>
    </r>
    <r>
      <rPr>
        <b/>
        <sz val="12"/>
        <rFont val="Times New Roman"/>
        <charset val="134"/>
      </rPr>
      <t>28</t>
    </r>
    <r>
      <rPr>
        <b/>
        <sz val="12"/>
        <rFont val="宋体"/>
        <charset val="134"/>
      </rPr>
      <t>日之前</t>
    </r>
  </si>
  <si>
    <r>
      <rPr>
        <b/>
        <sz val="12"/>
        <color theme="1"/>
        <rFont val="宋体"/>
        <charset val="134"/>
      </rPr>
      <t>合计</t>
    </r>
  </si>
  <si>
    <r>
      <rPr>
        <b/>
        <sz val="14"/>
        <rFont val="宋体"/>
        <charset val="134"/>
      </rPr>
      <t>企业名称</t>
    </r>
  </si>
  <si>
    <r>
      <rPr>
        <b/>
        <sz val="14"/>
        <rFont val="宋体"/>
        <charset val="134"/>
      </rPr>
      <t>面积（平）</t>
    </r>
  </si>
  <si>
    <r>
      <rPr>
        <b/>
        <sz val="14"/>
        <rFont val="宋体"/>
        <charset val="134"/>
      </rPr>
      <t>水电标准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</si>
  <si>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个月水电费用</t>
    </r>
  </si>
  <si>
    <r>
      <rPr>
        <b/>
        <sz val="14"/>
        <rFont val="宋体"/>
        <charset val="134"/>
      </rPr>
      <t>公共能耗费标准</t>
    </r>
    <r>
      <rPr>
        <b/>
        <sz val="14"/>
        <rFont val="Times New Roman"/>
        <charset val="134"/>
      </rPr>
      <t xml:space="preserve">
</t>
    </r>
    <r>
      <rPr>
        <b/>
        <sz val="14"/>
        <rFont val="宋体"/>
        <charset val="134"/>
      </rPr>
      <t>（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平</t>
    </r>
    <r>
      <rPr>
        <b/>
        <sz val="14"/>
        <rFont val="Times New Roman"/>
        <charset val="134"/>
      </rPr>
      <t>/</t>
    </r>
    <r>
      <rPr>
        <b/>
        <sz val="14"/>
        <rFont val="宋体"/>
        <charset val="134"/>
      </rPr>
      <t>月）</t>
    </r>
  </si>
  <si>
    <r>
      <rPr>
        <b/>
        <sz val="14"/>
        <rFont val="Times New Roman"/>
        <charset val="134"/>
      </rPr>
      <t>1</t>
    </r>
    <r>
      <rPr>
        <b/>
        <sz val="14"/>
        <rFont val="宋体"/>
        <charset val="134"/>
      </rPr>
      <t>个月公共能耗费用</t>
    </r>
  </si>
  <si>
    <r>
      <rPr>
        <sz val="12"/>
        <rFont val="Times New Roman"/>
        <charset val="134"/>
      </rPr>
      <t>10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</si>
  <si>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元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㎡</t>
    </r>
    <r>
      <rPr>
        <sz val="12"/>
        <rFont val="Times New Roman"/>
        <charset val="134"/>
      </rPr>
      <t>/</t>
    </r>
    <r>
      <rPr>
        <sz val="12"/>
        <rFont val="宋体"/>
        <charset val="134"/>
      </rPr>
      <t>月</t>
    </r>
  </si>
  <si>
    <r>
      <rPr>
        <sz val="11"/>
        <color theme="1"/>
        <rFont val="宋体"/>
        <charset val="134"/>
      </rPr>
      <t>备注：</t>
    </r>
  </si>
  <si>
    <r>
      <rPr>
        <sz val="11"/>
        <color theme="1"/>
        <rFont val="宋体"/>
        <charset val="134"/>
      </rPr>
      <t>租金单价四舍五入后，保留</t>
    </r>
    <r>
      <rPr>
        <sz val="11"/>
        <color theme="1"/>
        <rFont val="Times New Roman"/>
        <charset val="134"/>
      </rPr>
      <t>2</t>
    </r>
    <r>
      <rPr>
        <sz val="11"/>
        <color theme="1"/>
        <rFont val="宋体"/>
        <charset val="134"/>
      </rPr>
      <t>位小数。</t>
    </r>
  </si>
  <si>
    <r>
      <rPr>
        <sz val="11"/>
        <color theme="1"/>
        <rFont val="宋体"/>
        <charset val="134"/>
      </rPr>
      <t>租金金额四舍五入后，保留整数。</t>
    </r>
  </si>
  <si>
    <t>出租房间</t>
  </si>
  <si>
    <t>租赁面积（㎡）</t>
  </si>
  <si>
    <t>首年租金标准</t>
  </si>
  <si>
    <t>履约保证金标准（月）</t>
  </si>
  <si>
    <t>保证金（元）</t>
  </si>
  <si>
    <t>合同金额（元）</t>
  </si>
  <si>
    <t>付款方式</t>
  </si>
  <si>
    <t>租金递增费率</t>
  </si>
  <si>
    <t>期数</t>
  </si>
  <si>
    <t>租金单价</t>
  </si>
  <si>
    <t>应付款日期</t>
  </si>
  <si>
    <t>不含税</t>
  </si>
  <si>
    <t>税金</t>
  </si>
  <si>
    <t>合计全年</t>
  </si>
  <si>
    <t>A座3层305,杭州交投科创中心B座404</t>
  </si>
  <si>
    <t>一年一付</t>
  </si>
  <si>
    <t>第一年</t>
  </si>
  <si>
    <t>第三年</t>
  </si>
  <si>
    <t>A座4层1-3、1-4、1-5、1-6、1-7</t>
  </si>
  <si>
    <t>合计</t>
  </si>
  <si>
    <t>房租时间数</t>
  </si>
  <si>
    <t>第一年时间</t>
  </si>
  <si>
    <t>第二年时间</t>
  </si>
  <si>
    <t>第三年时间</t>
  </si>
  <si>
    <t>备注：</t>
  </si>
  <si>
    <t>租金单价四舍五入后，保留2位小数。</t>
  </si>
  <si>
    <t>租金金额四舍五入后，保留整数。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</si>
</sst>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39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b/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4"/>
      <name val="Times New Roman"/>
      <charset val="134"/>
    </font>
    <font>
      <b/>
      <sz val="14"/>
      <color theme="1"/>
      <name val="Times New Roman"/>
      <charset val="134"/>
    </font>
    <font>
      <b/>
      <sz val="12"/>
      <name val="Times New Roman"/>
      <charset val="134"/>
    </font>
    <font>
      <b/>
      <sz val="12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Times New Roman"/>
      <charset val="134"/>
    </font>
    <font>
      <sz val="12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14"/>
      <color theme="1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b/>
      <sz val="9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ck">
        <color rgb="FFFF0000"/>
      </right>
      <top style="thin">
        <color auto="1"/>
      </top>
      <bottom style="medium">
        <color auto="1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/>
      <right style="thick">
        <color rgb="FFFF0000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rgb="FFFF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26" applyNumberFormat="0" applyAlignment="0" applyProtection="0">
      <alignment vertical="center"/>
    </xf>
    <xf numFmtId="0" fontId="23" fillId="6" borderId="27" applyNumberFormat="0" applyAlignment="0" applyProtection="0">
      <alignment vertical="center"/>
    </xf>
    <xf numFmtId="0" fontId="24" fillId="6" borderId="26" applyNumberFormat="0" applyAlignment="0" applyProtection="0">
      <alignment vertical="center"/>
    </xf>
    <xf numFmtId="0" fontId="25" fillId="7" borderId="28" applyNumberFormat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30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9" fontId="2" fillId="0" borderId="9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 wrapText="1"/>
    </xf>
    <xf numFmtId="177" fontId="3" fillId="0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77" fontId="4" fillId="0" borderId="9" xfId="0" applyNumberFormat="1" applyFont="1" applyBorder="1" applyAlignment="1">
      <alignment horizontal="center" vertical="center"/>
    </xf>
    <xf numFmtId="176" fontId="0" fillId="0" borderId="9" xfId="0" applyNumberFormat="1" applyBorder="1">
      <alignment vertical="center"/>
    </xf>
    <xf numFmtId="0" fontId="0" fillId="0" borderId="9" xfId="0" applyBorder="1">
      <alignment vertical="center"/>
    </xf>
    <xf numFmtId="0" fontId="0" fillId="0" borderId="9" xfId="0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Border="1">
      <alignment vertical="center"/>
    </xf>
    <xf numFmtId="0" fontId="4" fillId="0" borderId="9" xfId="0" applyFont="1" applyBorder="1">
      <alignment vertical="center"/>
    </xf>
    <xf numFmtId="14" fontId="4" fillId="0" borderId="9" xfId="0" applyNumberFormat="1" applyFont="1" applyBorder="1">
      <alignment vertical="center"/>
    </xf>
    <xf numFmtId="14" fontId="0" fillId="0" borderId="0" xfId="0" applyNumberFormat="1">
      <alignment vertical="center"/>
    </xf>
    <xf numFmtId="0" fontId="4" fillId="0" borderId="10" xfId="0" applyFont="1" applyBorder="1">
      <alignment vertical="center"/>
    </xf>
    <xf numFmtId="14" fontId="4" fillId="0" borderId="11" xfId="0" applyNumberFormat="1" applyFont="1" applyBorder="1">
      <alignment vertical="center"/>
    </xf>
    <xf numFmtId="14" fontId="4" fillId="0" borderId="12" xfId="0" applyNumberFormat="1" applyFont="1" applyBorder="1">
      <alignment vertical="center"/>
    </xf>
    <xf numFmtId="0" fontId="4" fillId="0" borderId="13" xfId="0" applyFont="1" applyBorder="1">
      <alignment vertical="center"/>
    </xf>
    <xf numFmtId="0" fontId="0" fillId="0" borderId="14" xfId="0" applyBorder="1">
      <alignment vertical="center"/>
    </xf>
    <xf numFmtId="0" fontId="5" fillId="0" borderId="0" xfId="0" applyFont="1">
      <alignment vertical="center"/>
    </xf>
    <xf numFmtId="0" fontId="5" fillId="0" borderId="0" xfId="0" applyFont="1" applyBorder="1">
      <alignment vertical="center"/>
    </xf>
    <xf numFmtId="176" fontId="5" fillId="0" borderId="0" xfId="0" applyNumberFormat="1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177" fontId="8" fillId="0" borderId="9" xfId="0" applyNumberFormat="1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176" fontId="8" fillId="0" borderId="17" xfId="0" applyNumberFormat="1" applyFont="1" applyFill="1" applyBorder="1" applyAlignment="1">
      <alignment horizontal="center" vertical="center" wrapText="1"/>
    </xf>
    <xf numFmtId="176" fontId="8" fillId="0" borderId="17" xfId="0" applyNumberFormat="1" applyFont="1" applyFill="1" applyBorder="1" applyAlignment="1">
      <alignment horizontal="center" vertical="center"/>
    </xf>
    <xf numFmtId="177" fontId="8" fillId="0" borderId="18" xfId="0" applyNumberFormat="1" applyFont="1" applyFill="1" applyBorder="1" applyAlignment="1">
      <alignment horizontal="center" vertical="center"/>
    </xf>
    <xf numFmtId="177" fontId="8" fillId="0" borderId="17" xfId="0" applyNumberFormat="1" applyFont="1" applyFill="1" applyBorder="1" applyAlignment="1">
      <alignment horizontal="center" vertical="center"/>
    </xf>
    <xf numFmtId="176" fontId="8" fillId="0" borderId="9" xfId="0" applyNumberFormat="1" applyFont="1" applyFill="1" applyBorder="1" applyAlignment="1">
      <alignment horizontal="center" vertical="center"/>
    </xf>
    <xf numFmtId="177" fontId="8" fillId="0" borderId="19" xfId="0" applyNumberFormat="1" applyFont="1" applyFill="1" applyBorder="1" applyAlignment="1">
      <alignment horizontal="center" vertical="center"/>
    </xf>
    <xf numFmtId="177" fontId="8" fillId="0" borderId="9" xfId="0" applyNumberFormat="1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176" fontId="11" fillId="0" borderId="9" xfId="0" applyNumberFormat="1" applyFont="1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14" fontId="5" fillId="0" borderId="0" xfId="0" applyNumberFormat="1" applyFont="1">
      <alignment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17" xfId="0" applyFont="1" applyFill="1" applyBorder="1" applyAlignment="1">
      <alignment horizontal="center" vertical="center" wrapText="1"/>
    </xf>
    <xf numFmtId="0" fontId="13" fillId="0" borderId="0" xfId="0" applyFont="1" applyBorder="1">
      <alignment vertical="center"/>
    </xf>
    <xf numFmtId="14" fontId="13" fillId="0" borderId="0" xfId="0" applyNumberFormat="1" applyFont="1" applyBorder="1">
      <alignment vertical="center"/>
    </xf>
    <xf numFmtId="14" fontId="5" fillId="0" borderId="0" xfId="0" applyNumberFormat="1" applyFont="1" applyBorder="1">
      <alignment vertical="center"/>
    </xf>
    <xf numFmtId="176" fontId="5" fillId="0" borderId="0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zoomScale="89" zoomScaleNormal="89" topLeftCell="I1" workbookViewId="0">
      <selection activeCell="P10" sqref="P10"/>
    </sheetView>
  </sheetViews>
  <sheetFormatPr defaultColWidth="8.725" defaultRowHeight="15"/>
  <cols>
    <col min="1" max="2" width="15.3583333333333" style="32" customWidth="1"/>
    <col min="3" max="3" width="20.375" style="32" customWidth="1"/>
    <col min="4" max="6" width="13.9416666666667" style="32" customWidth="1"/>
    <col min="7" max="7" width="14" style="32"/>
    <col min="8" max="8" width="12.2083333333333" style="32" customWidth="1"/>
    <col min="9" max="9" width="10.6333333333333" style="32"/>
    <col min="10" max="10" width="12.6916666666667" style="32" customWidth="1"/>
    <col min="11" max="11" width="12.0666666666667" style="32" customWidth="1"/>
    <col min="12" max="12" width="31.6666666666667" style="32" customWidth="1"/>
    <col min="13" max="14" width="16.1333333333333" style="32" customWidth="1"/>
    <col min="15" max="15" width="16.1333333333333" style="34" customWidth="1"/>
    <col min="16" max="16" width="24.2916666666667" style="34" customWidth="1"/>
    <col min="17" max="17" width="8.725" style="32"/>
    <col min="18" max="18" width="12.8166666666667" style="32"/>
    <col min="19" max="16384" width="8.725" style="32"/>
  </cols>
  <sheetData>
    <row r="1" ht="31" customHeight="1" spans="1:17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/>
      <c r="K1" s="36" t="s">
        <v>9</v>
      </c>
      <c r="L1" s="36" t="s">
        <v>10</v>
      </c>
      <c r="M1" s="37" t="s">
        <v>11</v>
      </c>
      <c r="N1" s="37"/>
      <c r="O1" s="37"/>
      <c r="P1" s="36" t="s">
        <v>12</v>
      </c>
    </row>
    <row r="2" ht="31" customHeight="1" spans="1:17">
      <c r="A2" s="38"/>
      <c r="B2" s="39"/>
      <c r="C2" s="39"/>
      <c r="D2" s="39"/>
      <c r="E2" s="39"/>
      <c r="F2" s="39"/>
      <c r="G2" s="39"/>
      <c r="H2" s="39"/>
      <c r="I2" s="40"/>
      <c r="J2" s="40"/>
      <c r="K2" s="40"/>
      <c r="L2" s="40"/>
      <c r="M2" s="41" t="s">
        <v>13</v>
      </c>
      <c r="N2" s="41" t="s">
        <v>14</v>
      </c>
      <c r="O2" s="40" t="s">
        <v>15</v>
      </c>
      <c r="P2" s="40"/>
    </row>
    <row r="3" ht="28" customHeight="1" spans="1:17">
      <c r="A3" s="42" t="s">
        <v>16</v>
      </c>
      <c r="B3" s="42">
        <v>757.28</v>
      </c>
      <c r="C3" s="42">
        <v>1.6</v>
      </c>
      <c r="D3" s="42">
        <v>2</v>
      </c>
      <c r="E3" s="43">
        <f>(B3*C3*365/12)*D3</f>
        <v>73708.5866666667</v>
      </c>
      <c r="F3" s="42">
        <f>SUM(O3:O10)</f>
        <v>898324</v>
      </c>
      <c r="G3" s="44" t="s">
        <v>17</v>
      </c>
      <c r="H3" s="42">
        <v>0.03</v>
      </c>
      <c r="I3" s="45" t="s">
        <v>18</v>
      </c>
      <c r="J3" s="46">
        <v>1</v>
      </c>
      <c r="K3" s="47">
        <v>1.6</v>
      </c>
      <c r="L3" s="47" t="s">
        <v>19</v>
      </c>
      <c r="M3" s="48">
        <f t="shared" ref="M3:M10" si="0">ROUND(O3/1.09,2)</f>
        <v>101433.94</v>
      </c>
      <c r="N3" s="48">
        <f t="shared" ref="N3:N10" si="1">ROUND(O3-M3,2)</f>
        <v>9129.06</v>
      </c>
      <c r="O3" s="49">
        <f>ROUND(B3*K3*365/4,0)</f>
        <v>110563</v>
      </c>
      <c r="P3" s="50" t="s">
        <v>20</v>
      </c>
    </row>
    <row r="4" ht="28" customHeight="1" spans="1:17">
      <c r="A4" s="42"/>
      <c r="B4" s="42"/>
      <c r="C4" s="42"/>
      <c r="D4" s="42"/>
      <c r="E4" s="43"/>
      <c r="F4" s="42"/>
      <c r="G4" s="42"/>
      <c r="H4" s="42"/>
      <c r="I4" s="45"/>
      <c r="J4" s="42">
        <v>2</v>
      </c>
      <c r="K4" s="47">
        <v>1.6</v>
      </c>
      <c r="L4" s="47" t="s">
        <v>21</v>
      </c>
      <c r="M4" s="51">
        <f t="shared" si="0"/>
        <v>101433.94</v>
      </c>
      <c r="N4" s="48">
        <f t="shared" si="1"/>
        <v>9129.06</v>
      </c>
      <c r="O4" s="52">
        <f>ROUND(B3*K3*365/4,0)</f>
        <v>110563</v>
      </c>
      <c r="P4" s="53" t="s">
        <v>22</v>
      </c>
    </row>
    <row r="5" ht="28" customHeight="1" spans="1:17">
      <c r="A5" s="42"/>
      <c r="B5" s="42"/>
      <c r="C5" s="42"/>
      <c r="D5" s="42"/>
      <c r="E5" s="43"/>
      <c r="F5" s="42"/>
      <c r="G5" s="42"/>
      <c r="H5" s="42"/>
      <c r="I5" s="45"/>
      <c r="J5" s="42">
        <v>3</v>
      </c>
      <c r="K5" s="47">
        <v>1.6</v>
      </c>
      <c r="L5" s="47" t="s">
        <v>23</v>
      </c>
      <c r="M5" s="51">
        <f t="shared" si="0"/>
        <v>101433.94</v>
      </c>
      <c r="N5" s="48">
        <f t="shared" si="1"/>
        <v>9129.06</v>
      </c>
      <c r="O5" s="53">
        <f>ROUND(B3*K5*365/4,0)</f>
        <v>110563</v>
      </c>
      <c r="P5" s="53" t="s">
        <v>24</v>
      </c>
    </row>
    <row r="6" ht="28" customHeight="1" spans="1:17">
      <c r="A6" s="42"/>
      <c r="B6" s="42"/>
      <c r="C6" s="42"/>
      <c r="D6" s="42"/>
      <c r="E6" s="43"/>
      <c r="F6" s="42"/>
      <c r="G6" s="42"/>
      <c r="H6" s="42"/>
      <c r="I6" s="54"/>
      <c r="J6" s="42">
        <v>4</v>
      </c>
      <c r="K6" s="47">
        <v>1.6</v>
      </c>
      <c r="L6" s="47" t="s">
        <v>25</v>
      </c>
      <c r="M6" s="51">
        <f t="shared" si="0"/>
        <v>101433.94</v>
      </c>
      <c r="N6" s="48">
        <f t="shared" si="1"/>
        <v>9129.06</v>
      </c>
      <c r="O6" s="53">
        <f>ROUND(B3*K5*365/4,0)</f>
        <v>110563</v>
      </c>
      <c r="P6" s="53" t="s">
        <v>26</v>
      </c>
    </row>
    <row r="7" ht="28" customHeight="1" spans="1:17">
      <c r="A7" s="42"/>
      <c r="B7" s="42"/>
      <c r="C7" s="42"/>
      <c r="D7" s="42"/>
      <c r="E7" s="43"/>
      <c r="F7" s="42"/>
      <c r="G7" s="42"/>
      <c r="H7" s="42"/>
      <c r="I7" s="55" t="s">
        <v>27</v>
      </c>
      <c r="J7" s="42">
        <v>5</v>
      </c>
      <c r="K7" s="56">
        <f>ROUND(C3*(1+H3),2)</f>
        <v>1.65</v>
      </c>
      <c r="L7" s="47" t="s">
        <v>28</v>
      </c>
      <c r="M7" s="51">
        <f t="shared" si="0"/>
        <v>104603.67</v>
      </c>
      <c r="N7" s="48">
        <f t="shared" si="1"/>
        <v>9414.33</v>
      </c>
      <c r="O7" s="57">
        <f>ROUND(B3*K7*365/4,0)</f>
        <v>114018</v>
      </c>
      <c r="P7" s="53" t="s">
        <v>29</v>
      </c>
    </row>
    <row r="8" ht="28" customHeight="1" spans="1:17">
      <c r="A8" s="42"/>
      <c r="B8" s="42"/>
      <c r="C8" s="42"/>
      <c r="D8" s="42"/>
      <c r="E8" s="43"/>
      <c r="F8" s="42"/>
      <c r="G8" s="42"/>
      <c r="H8" s="42"/>
      <c r="I8" s="58"/>
      <c r="J8" s="42">
        <v>6</v>
      </c>
      <c r="K8" s="56">
        <f>ROUND(C3*(1+H3),2)</f>
        <v>1.65</v>
      </c>
      <c r="L8" s="47" t="s">
        <v>30</v>
      </c>
      <c r="M8" s="51">
        <f t="shared" si="0"/>
        <v>104603.67</v>
      </c>
      <c r="N8" s="48">
        <f t="shared" si="1"/>
        <v>9414.33</v>
      </c>
      <c r="O8" s="57">
        <f>ROUND(B3*K7*365/4,0)</f>
        <v>114018</v>
      </c>
      <c r="P8" s="53" t="s">
        <v>31</v>
      </c>
    </row>
    <row r="9" ht="28" customHeight="1" spans="1:17">
      <c r="A9" s="42"/>
      <c r="B9" s="42"/>
      <c r="C9" s="42"/>
      <c r="D9" s="42"/>
      <c r="E9" s="43"/>
      <c r="F9" s="42"/>
      <c r="G9" s="42"/>
      <c r="H9" s="42"/>
      <c r="I9" s="58"/>
      <c r="J9" s="42">
        <v>7</v>
      </c>
      <c r="K9" s="56">
        <f>ROUND(C3*(1+H3),2)</f>
        <v>1.65</v>
      </c>
      <c r="L9" s="47" t="s">
        <v>32</v>
      </c>
      <c r="M9" s="51">
        <f t="shared" si="0"/>
        <v>104603.67</v>
      </c>
      <c r="N9" s="48">
        <f t="shared" si="1"/>
        <v>9414.33</v>
      </c>
      <c r="O9" s="57">
        <f>ROUND(B3*K7*365/4,0)</f>
        <v>114018</v>
      </c>
      <c r="P9" s="53" t="s">
        <v>33</v>
      </c>
    </row>
    <row r="10" ht="28" customHeight="1" spans="1:17">
      <c r="A10" s="42"/>
      <c r="B10" s="42"/>
      <c r="C10" s="42"/>
      <c r="D10" s="42"/>
      <c r="E10" s="43"/>
      <c r="F10" s="42"/>
      <c r="G10" s="42"/>
      <c r="H10" s="42"/>
      <c r="I10" s="59"/>
      <c r="J10" s="42">
        <v>8</v>
      </c>
      <c r="K10" s="56">
        <f>ROUND(C3*(1+H3),2)</f>
        <v>1.65</v>
      </c>
      <c r="L10" s="47" t="s">
        <v>34</v>
      </c>
      <c r="M10" s="51">
        <f t="shared" si="0"/>
        <v>104603.67</v>
      </c>
      <c r="N10" s="48">
        <f t="shared" si="1"/>
        <v>9414.33</v>
      </c>
      <c r="O10" s="57">
        <f>ROUND(B3*K7*365/4,0)</f>
        <v>114018</v>
      </c>
      <c r="P10" s="53" t="s">
        <v>35</v>
      </c>
    </row>
    <row r="11" ht="28" customHeight="1" spans="1:17">
      <c r="A11" s="42"/>
      <c r="B11" s="42"/>
      <c r="C11" s="42"/>
      <c r="D11" s="42"/>
      <c r="E11" s="43"/>
      <c r="F11" s="42"/>
      <c r="G11" s="42"/>
      <c r="H11" s="42"/>
      <c r="I11" s="56" t="s">
        <v>36</v>
      </c>
      <c r="J11" s="56"/>
      <c r="K11" s="56"/>
      <c r="L11" s="56"/>
      <c r="M11" s="56"/>
      <c r="N11" s="56"/>
      <c r="O11" s="57">
        <f>SUM(O3:O10)</f>
        <v>898324</v>
      </c>
      <c r="P11" s="60"/>
      <c r="Q11" s="33"/>
    </row>
    <row r="12" ht="15.75" spans="1:17">
      <c r="B12" s="33"/>
      <c r="C12" s="33"/>
      <c r="D12" s="33"/>
      <c r="H12" s="33"/>
    </row>
    <row r="13" s="32" customFormat="1" ht="56" customHeight="1" spans="1:17">
      <c r="A13" s="35" t="s">
        <v>37</v>
      </c>
      <c r="B13" s="35" t="s">
        <v>38</v>
      </c>
      <c r="C13" s="35" t="s">
        <v>39</v>
      </c>
      <c r="D13" s="61" t="s">
        <v>40</v>
      </c>
      <c r="E13" s="62" t="s">
        <v>41</v>
      </c>
      <c r="F13" s="63" t="s">
        <v>42</v>
      </c>
      <c r="H13" s="64"/>
      <c r="I13" s="64"/>
      <c r="O13" s="34"/>
      <c r="P13" s="34"/>
    </row>
    <row r="14" s="32" customFormat="1" ht="59" customHeight="1" spans="1:17">
      <c r="A14" s="56" t="str">
        <f>A3</f>
        <v>C座311-N/O/P</v>
      </c>
      <c r="B14" s="42">
        <f>B3</f>
        <v>757.28</v>
      </c>
      <c r="C14" s="65" t="s">
        <v>43</v>
      </c>
      <c r="D14" s="42">
        <f>B3*10</f>
        <v>7572.8</v>
      </c>
      <c r="E14" s="66" t="s">
        <v>44</v>
      </c>
      <c r="F14" s="42">
        <f>B3*2</f>
        <v>1514.56</v>
      </c>
      <c r="O14" s="34"/>
      <c r="P14" s="34"/>
    </row>
    <row r="15" s="33" customFormat="1" ht="21" customHeight="1" spans="1:17">
      <c r="A15" s="67"/>
      <c r="B15" s="68"/>
      <c r="C15" s="68"/>
      <c r="D15" s="67"/>
      <c r="I15" s="69"/>
      <c r="O15" s="70"/>
      <c r="P15" s="70"/>
    </row>
    <row r="16" s="33" customFormat="1" ht="21" customHeight="1" spans="1:17">
      <c r="A16" s="67"/>
      <c r="B16" s="68"/>
      <c r="C16" s="68"/>
      <c r="D16" s="67"/>
      <c r="H16" s="69"/>
      <c r="I16" s="69"/>
      <c r="O16" s="70"/>
      <c r="P16" s="70"/>
    </row>
    <row r="17" spans="1:16">
      <c r="B17" s="33"/>
      <c r="C17" s="33"/>
      <c r="H17" s="64"/>
      <c r="I17" s="64"/>
    </row>
    <row r="18" spans="1:16">
      <c r="I18" s="33"/>
      <c r="J18" s="33"/>
      <c r="K18" s="33"/>
      <c r="L18" s="33"/>
      <c r="M18" s="33"/>
      <c r="N18" s="33"/>
      <c r="O18" s="70"/>
      <c r="P18" s="70"/>
    </row>
    <row r="19" spans="1:16">
      <c r="A19" s="32" t="s">
        <v>45</v>
      </c>
      <c r="B19" s="32" t="s">
        <v>46</v>
      </c>
      <c r="H19" s="64"/>
      <c r="I19" s="33"/>
      <c r="J19" s="33"/>
      <c r="K19" s="33"/>
      <c r="L19" s="33"/>
      <c r="M19" s="33"/>
      <c r="N19" s="33"/>
      <c r="O19" s="70"/>
      <c r="P19" s="70"/>
    </row>
    <row r="20" spans="1:16">
      <c r="B20" s="32" t="s">
        <v>47</v>
      </c>
      <c r="I20" s="33"/>
      <c r="J20" s="33"/>
      <c r="K20" s="33"/>
      <c r="L20" s="33"/>
      <c r="M20" s="33"/>
      <c r="N20" s="33"/>
      <c r="O20" s="70"/>
      <c r="P20" s="70"/>
    </row>
    <row r="21" spans="1:16">
      <c r="I21" s="33"/>
      <c r="J21" s="33"/>
      <c r="K21" s="33"/>
      <c r="L21" s="33"/>
      <c r="M21" s="33"/>
      <c r="N21" s="33"/>
      <c r="O21" s="70"/>
      <c r="P21" s="70"/>
    </row>
    <row r="22" spans="1:16">
      <c r="I22" s="33"/>
      <c r="J22" s="33"/>
      <c r="K22" s="33"/>
      <c r="L22" s="33"/>
      <c r="M22" s="33"/>
      <c r="N22" s="33"/>
      <c r="O22" s="70"/>
      <c r="P22" s="70"/>
    </row>
    <row r="23" spans="1:16">
      <c r="I23" s="33"/>
      <c r="J23" s="33"/>
      <c r="K23" s="33"/>
      <c r="L23" s="33"/>
      <c r="M23" s="33"/>
      <c r="N23" s="33"/>
      <c r="O23" s="70"/>
      <c r="P23" s="70"/>
    </row>
    <row r="24" spans="1:16">
      <c r="I24" s="33"/>
      <c r="J24" s="33"/>
      <c r="K24" s="33"/>
      <c r="L24" s="33"/>
      <c r="M24" s="33"/>
      <c r="N24" s="33"/>
      <c r="O24" s="70"/>
      <c r="P24" s="70"/>
    </row>
    <row r="25" spans="1:16">
      <c r="I25" s="33"/>
      <c r="J25" s="33"/>
      <c r="K25" s="33"/>
      <c r="L25" s="33"/>
      <c r="M25" s="33"/>
      <c r="N25" s="33"/>
      <c r="O25" s="70"/>
      <c r="P25" s="70"/>
    </row>
    <row r="26" spans="1:16">
      <c r="I26" s="33"/>
      <c r="J26" s="33"/>
      <c r="K26" s="33"/>
      <c r="L26" s="33"/>
      <c r="M26" s="33"/>
      <c r="N26" s="33"/>
      <c r="O26" s="70"/>
      <c r="P26" s="70"/>
    </row>
    <row r="27" spans="1:16">
      <c r="I27" s="33"/>
      <c r="J27" s="33"/>
      <c r="K27" s="33"/>
      <c r="L27" s="33"/>
      <c r="M27" s="33"/>
      <c r="N27" s="33"/>
      <c r="O27" s="70"/>
      <c r="P27" s="70"/>
    </row>
    <row r="28" spans="1:16">
      <c r="I28" s="33"/>
      <c r="J28" s="33"/>
      <c r="K28" s="33"/>
      <c r="L28" s="33"/>
      <c r="M28" s="33"/>
      <c r="N28" s="33"/>
      <c r="O28" s="70"/>
      <c r="P28" s="70"/>
    </row>
    <row r="29" spans="1:16">
      <c r="I29" s="33"/>
      <c r="J29" s="33"/>
      <c r="K29" s="33"/>
      <c r="L29" s="33"/>
      <c r="M29" s="33"/>
      <c r="N29" s="33"/>
      <c r="O29" s="70"/>
      <c r="P29" s="70"/>
    </row>
    <row r="30" spans="1:16">
      <c r="I30" s="33"/>
      <c r="J30" s="33"/>
      <c r="K30" s="33"/>
      <c r="L30" s="33"/>
      <c r="M30" s="33"/>
      <c r="N30" s="33"/>
      <c r="O30" s="70"/>
      <c r="P30" s="70"/>
    </row>
    <row r="31" spans="1:16">
      <c r="I31" s="33"/>
      <c r="J31" s="33"/>
      <c r="K31" s="33"/>
      <c r="L31" s="33"/>
      <c r="M31" s="33"/>
      <c r="N31" s="33"/>
      <c r="O31" s="70"/>
      <c r="P31" s="70"/>
    </row>
    <row r="32" spans="1:16">
      <c r="I32" s="33"/>
      <c r="J32" s="33"/>
      <c r="K32" s="33"/>
      <c r="L32" s="33"/>
      <c r="M32" s="33"/>
      <c r="N32" s="33"/>
      <c r="O32" s="70"/>
      <c r="P32" s="70"/>
    </row>
    <row r="33" spans="9:16">
      <c r="I33" s="33"/>
      <c r="J33" s="33"/>
      <c r="K33" s="33"/>
      <c r="L33" s="33"/>
      <c r="M33" s="33"/>
      <c r="N33" s="33"/>
      <c r="O33" s="70"/>
      <c r="P33" s="70"/>
    </row>
    <row r="34" spans="9:16">
      <c r="I34" s="33"/>
      <c r="J34" s="33"/>
      <c r="K34" s="33"/>
      <c r="L34" s="33"/>
      <c r="M34" s="33"/>
      <c r="N34" s="33"/>
      <c r="O34" s="70"/>
      <c r="P34" s="70"/>
    </row>
    <row r="35" spans="9:16">
      <c r="I35" s="33"/>
      <c r="J35" s="33"/>
      <c r="K35" s="33"/>
      <c r="L35" s="33"/>
      <c r="M35" s="33"/>
      <c r="N35" s="33"/>
      <c r="O35" s="70"/>
      <c r="P35" s="70"/>
    </row>
    <row r="36" spans="9:16">
      <c r="I36" s="33"/>
      <c r="J36" s="33"/>
      <c r="K36" s="33"/>
      <c r="L36" s="33"/>
      <c r="M36" s="33"/>
      <c r="N36" s="33"/>
      <c r="O36" s="70"/>
      <c r="P36" s="70"/>
    </row>
    <row r="37" spans="9:16">
      <c r="I37" s="33"/>
      <c r="J37" s="33"/>
      <c r="K37" s="33"/>
      <c r="L37" s="33"/>
      <c r="M37" s="33"/>
      <c r="N37" s="33"/>
      <c r="O37" s="70"/>
      <c r="P37" s="70"/>
    </row>
  </sheetData>
  <mergeCells count="25">
    <mergeCell ref="M1:O1"/>
    <mergeCell ref="I11:N11"/>
    <mergeCell ref="A1:A2"/>
    <mergeCell ref="A3:A11"/>
    <mergeCell ref="B1:B2"/>
    <mergeCell ref="B3:B11"/>
    <mergeCell ref="C1:C2"/>
    <mergeCell ref="C3:C11"/>
    <mergeCell ref="D1:D2"/>
    <mergeCell ref="D3:D11"/>
    <mergeCell ref="E1:E2"/>
    <mergeCell ref="E3:E11"/>
    <mergeCell ref="F1:F2"/>
    <mergeCell ref="F3:F11"/>
    <mergeCell ref="G1:G2"/>
    <mergeCell ref="G3:G11"/>
    <mergeCell ref="H1:H2"/>
    <mergeCell ref="H3:H11"/>
    <mergeCell ref="I1:I2"/>
    <mergeCell ref="I3:I6"/>
    <mergeCell ref="I7:I10"/>
    <mergeCell ref="J1:J2"/>
    <mergeCell ref="K1:K2"/>
    <mergeCell ref="L1:L2"/>
    <mergeCell ref="P1:P2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zoomScale="58" zoomScaleNormal="58" topLeftCell="D1" workbookViewId="0">
      <selection activeCell="A1" sqref="A1:N12"/>
    </sheetView>
  </sheetViews>
  <sheetFormatPr defaultColWidth="8.725" defaultRowHeight="13.5"/>
  <cols>
    <col min="1" max="2" width="15.3583333333333" customWidth="1"/>
    <col min="3" max="3" width="20.375" customWidth="1"/>
    <col min="4" max="6" width="13.9416666666667" customWidth="1"/>
    <col min="7" max="7" width="14"/>
    <col min="8" max="8" width="12.2083333333333" customWidth="1"/>
    <col min="9" max="9" width="10.6333333333333"/>
    <col min="10" max="10" width="12.0666666666667" customWidth="1"/>
    <col min="11" max="11" width="24.2916666666667" style="1" customWidth="1"/>
    <col min="12" max="12" width="24.2916666666667" customWidth="1"/>
    <col min="13" max="13" width="21.475" customWidth="1"/>
    <col min="14" max="14" width="24.2916666666667" style="1" customWidth="1"/>
    <col min="15" max="15" width="9.54166666666667"/>
    <col min="16" max="16" width="12.8166666666667"/>
    <col min="17" max="17" width="10.5416666666667"/>
  </cols>
  <sheetData>
    <row r="1" customFormat="1" ht="31" customHeight="1" spans="1:14">
      <c r="A1" s="2" t="s">
        <v>48</v>
      </c>
      <c r="B1" s="3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  <c r="M1" s="4" t="s">
        <v>60</v>
      </c>
      <c r="N1" s="5" t="s">
        <v>61</v>
      </c>
    </row>
    <row r="2" customFormat="1" ht="31" customHeight="1" spans="1:14">
      <c r="A2" s="6"/>
      <c r="B2" s="7"/>
      <c r="C2" s="8"/>
      <c r="D2" s="8"/>
      <c r="E2" s="8"/>
      <c r="F2" s="8"/>
      <c r="G2" s="8"/>
      <c r="H2" s="8"/>
      <c r="I2" s="8"/>
      <c r="J2" s="8"/>
      <c r="K2" s="8"/>
      <c r="L2" s="8" t="s">
        <v>59</v>
      </c>
      <c r="M2" s="8" t="s">
        <v>60</v>
      </c>
      <c r="N2" s="9"/>
    </row>
    <row r="3" ht="22" customHeight="1" spans="1:14">
      <c r="A3" s="10" t="s">
        <v>62</v>
      </c>
      <c r="B3" s="10">
        <f>317.49+707.55</f>
        <v>1025.04</v>
      </c>
      <c r="C3" s="10">
        <v>3.1</v>
      </c>
      <c r="D3" s="10">
        <v>0</v>
      </c>
      <c r="E3" s="10">
        <f>(B3*C3*365/12)*D3</f>
        <v>0</v>
      </c>
      <c r="F3" s="10"/>
      <c r="G3" s="10" t="s">
        <v>63</v>
      </c>
      <c r="H3" s="11">
        <v>0.03</v>
      </c>
      <c r="I3" s="10" t="s">
        <v>64</v>
      </c>
      <c r="J3" s="12">
        <f>C3</f>
        <v>3.1</v>
      </c>
      <c r="K3" s="13"/>
      <c r="L3" s="14">
        <f t="shared" ref="L3:L8" si="0">ROUND(N3/1.09,2)</f>
        <v>532033.03</v>
      </c>
      <c r="M3" s="14">
        <f t="shared" ref="M3:M8" si="1">N3-L3</f>
        <v>47882.97</v>
      </c>
      <c r="N3" s="15">
        <f>ROUND(B3*J3*365/2,0)</f>
        <v>579916</v>
      </c>
    </row>
    <row r="4" ht="22" customHeight="1" spans="1:14">
      <c r="A4" s="10"/>
      <c r="B4" s="10"/>
      <c r="C4" s="10"/>
      <c r="D4" s="10"/>
      <c r="E4" s="10"/>
      <c r="F4" s="10"/>
      <c r="G4" s="10"/>
      <c r="H4" s="10"/>
      <c r="I4" s="10" t="s">
        <v>27</v>
      </c>
      <c r="J4" s="12">
        <f>ROUND(C3*(1+H3),2)</f>
        <v>3.19</v>
      </c>
      <c r="K4" s="13"/>
      <c r="L4" s="14">
        <f t="shared" si="0"/>
        <v>1094958.72</v>
      </c>
      <c r="M4" s="14">
        <f t="shared" si="1"/>
        <v>98546.28</v>
      </c>
      <c r="N4" s="15">
        <f>ROUND(B3*J4*365,0)</f>
        <v>1193505</v>
      </c>
    </row>
    <row r="5" ht="22" customHeight="1" spans="1:14">
      <c r="A5" s="10"/>
      <c r="B5" s="10"/>
      <c r="C5" s="10"/>
      <c r="D5" s="10"/>
      <c r="E5" s="10"/>
      <c r="F5" s="10"/>
      <c r="G5" s="10"/>
      <c r="H5" s="10"/>
      <c r="I5" s="10" t="s">
        <v>65</v>
      </c>
      <c r="J5" s="12">
        <f>ROUND(C3*(1+H3)*(1+H3),2)</f>
        <v>3.29</v>
      </c>
      <c r="K5" s="13"/>
      <c r="L5" s="14">
        <f t="shared" si="0"/>
        <v>1129283.49</v>
      </c>
      <c r="M5" s="14">
        <f t="shared" si="1"/>
        <v>101635.51</v>
      </c>
      <c r="N5" s="15">
        <f>ROUND(B3*J5*365,0)</f>
        <v>1230919</v>
      </c>
    </row>
    <row r="6" ht="22" customHeight="1" spans="1:14">
      <c r="A6" s="10" t="s">
        <v>66</v>
      </c>
      <c r="B6" s="10">
        <v>210.8</v>
      </c>
      <c r="C6" s="10">
        <v>3.1</v>
      </c>
      <c r="D6" s="10">
        <v>0</v>
      </c>
      <c r="E6" s="10">
        <f>(B3*C3*365/12)*D3</f>
        <v>0</v>
      </c>
      <c r="F6" s="10"/>
      <c r="G6" s="10" t="s">
        <v>63</v>
      </c>
      <c r="H6" s="11">
        <v>0.03</v>
      </c>
      <c r="I6" s="10" t="s">
        <v>64</v>
      </c>
      <c r="J6" s="12">
        <f>C6</f>
        <v>3.1</v>
      </c>
      <c r="K6" s="16"/>
      <c r="L6" s="14">
        <f t="shared" si="0"/>
        <v>218825.69</v>
      </c>
      <c r="M6" s="14">
        <f t="shared" si="1"/>
        <v>19694.31</v>
      </c>
      <c r="N6" s="15">
        <f>ROUND(B6*J6*365,0)</f>
        <v>238520</v>
      </c>
    </row>
    <row r="7" ht="22" customHeight="1" spans="1:14">
      <c r="A7" s="10"/>
      <c r="B7" s="10"/>
      <c r="C7" s="10"/>
      <c r="D7" s="10"/>
      <c r="E7" s="10"/>
      <c r="F7" s="10"/>
      <c r="G7" s="10"/>
      <c r="H7" s="10"/>
      <c r="I7" s="10" t="s">
        <v>27</v>
      </c>
      <c r="J7" s="12">
        <f>ROUND(C6*(1+H6),2)</f>
        <v>3.19</v>
      </c>
      <c r="K7" s="16"/>
      <c r="L7" s="14">
        <f t="shared" si="0"/>
        <v>225178.9</v>
      </c>
      <c r="M7" s="14">
        <f t="shared" si="1"/>
        <v>20266.1</v>
      </c>
      <c r="N7" s="15">
        <f>ROUND(B6*J7*365,0)</f>
        <v>245445</v>
      </c>
    </row>
    <row r="8" ht="22" customHeight="1" spans="1:14">
      <c r="A8" s="10"/>
      <c r="B8" s="10"/>
      <c r="C8" s="10"/>
      <c r="D8" s="10"/>
      <c r="E8" s="10"/>
      <c r="F8" s="10"/>
      <c r="G8" s="10"/>
      <c r="H8" s="10"/>
      <c r="I8" s="10" t="s">
        <v>65</v>
      </c>
      <c r="J8" s="12">
        <f>ROUND(C6*(1+H6)*(1+H6),2)</f>
        <v>3.29</v>
      </c>
      <c r="K8" s="16"/>
      <c r="L8" s="14">
        <f t="shared" si="0"/>
        <v>232237.61</v>
      </c>
      <c r="M8" s="14">
        <f t="shared" si="1"/>
        <v>20901.39</v>
      </c>
      <c r="N8" s="15">
        <f>ROUND(B6*J8*365,0)</f>
        <v>253139</v>
      </c>
    </row>
    <row r="9" ht="22" customHeight="1" spans="1:14">
      <c r="A9" s="10" t="s">
        <v>67</v>
      </c>
      <c r="B9" s="17"/>
      <c r="C9" s="17"/>
      <c r="D9" s="17"/>
      <c r="E9" s="18"/>
      <c r="F9" s="17"/>
      <c r="G9" s="17"/>
      <c r="H9" s="17"/>
      <c r="I9" s="10" t="s">
        <v>64</v>
      </c>
      <c r="J9" s="12">
        <v>3.1</v>
      </c>
      <c r="K9" s="16"/>
      <c r="L9" s="14">
        <f>L3+L6</f>
        <v>750858.72</v>
      </c>
      <c r="M9" s="14">
        <f>M3+M6</f>
        <v>67577.28</v>
      </c>
      <c r="N9" s="15">
        <f>N3+N6</f>
        <v>818436</v>
      </c>
    </row>
    <row r="10" ht="22" customHeight="1" spans="1:14">
      <c r="A10" s="10"/>
      <c r="B10" s="17"/>
      <c r="C10" s="17"/>
      <c r="D10" s="17"/>
      <c r="E10" s="18"/>
      <c r="F10" s="17"/>
      <c r="G10" s="17"/>
      <c r="H10" s="17"/>
      <c r="I10" s="10" t="s">
        <v>27</v>
      </c>
      <c r="J10" s="12">
        <v>3.19</v>
      </c>
      <c r="K10" s="16"/>
      <c r="L10" s="14">
        <f>L4+L7</f>
        <v>1320137.62</v>
      </c>
      <c r="M10" s="14">
        <f>M4+M7</f>
        <v>118812.38</v>
      </c>
      <c r="N10" s="15">
        <f>N4+N7</f>
        <v>1438950</v>
      </c>
    </row>
    <row r="11" ht="22" customHeight="1" spans="1:14">
      <c r="A11" s="10"/>
      <c r="B11" s="17"/>
      <c r="C11" s="17"/>
      <c r="D11" s="17"/>
      <c r="E11" s="18"/>
      <c r="F11" s="17"/>
      <c r="G11" s="17"/>
      <c r="H11" s="17"/>
      <c r="I11" s="10" t="s">
        <v>65</v>
      </c>
      <c r="J11" s="12">
        <v>3.29</v>
      </c>
      <c r="K11" s="16"/>
      <c r="L11" s="14">
        <f>L5+L8</f>
        <v>1361521.1</v>
      </c>
      <c r="M11" s="14">
        <f>M5+M8</f>
        <v>122536.9</v>
      </c>
      <c r="N11" s="15">
        <f>N5+N8</f>
        <v>1484058</v>
      </c>
    </row>
    <row r="12" ht="22" customHeight="1" spans="1:14">
      <c r="A12" s="17"/>
      <c r="B12" s="17"/>
      <c r="C12" s="17"/>
      <c r="D12" s="17"/>
      <c r="E12" s="18"/>
      <c r="F12" s="17"/>
      <c r="G12" s="17"/>
      <c r="H12" s="17"/>
      <c r="I12" s="17"/>
      <c r="J12" s="17"/>
      <c r="K12" s="16"/>
      <c r="L12" s="17"/>
      <c r="M12" s="17"/>
      <c r="N12" s="16"/>
    </row>
    <row r="13" ht="22" customHeight="1" spans="1:14">
      <c r="A13" s="19"/>
      <c r="B13" s="19"/>
      <c r="C13" s="19"/>
      <c r="D13" s="19"/>
      <c r="E13" s="20"/>
    </row>
    <row r="14" ht="21" hidden="1" customHeight="1" spans="1:14">
      <c r="A14" s="21" t="s">
        <v>68</v>
      </c>
      <c r="B14" s="21"/>
      <c r="C14" s="21"/>
      <c r="D14" s="21"/>
      <c r="E14" s="22"/>
      <c r="F14" s="19"/>
      <c r="G14" s="19"/>
      <c r="H14" s="19"/>
      <c r="I14" s="19"/>
      <c r="J14" s="19"/>
      <c r="K14" s="23"/>
      <c r="L14" s="19"/>
      <c r="M14" s="19"/>
      <c r="N14" s="23"/>
    </row>
    <row r="15" ht="21" hidden="1" customHeight="1" spans="1:14">
      <c r="A15" s="24" t="s">
        <v>69</v>
      </c>
      <c r="B15" s="25">
        <v>45108</v>
      </c>
      <c r="C15" s="25">
        <v>45291</v>
      </c>
      <c r="D15" s="24">
        <f t="shared" ref="D15:D17" si="2">IF(B15="",0,C15-B15+1)</f>
        <v>184</v>
      </c>
    </row>
    <row r="16" ht="21" hidden="1" customHeight="1" spans="1:14">
      <c r="A16" s="24" t="s">
        <v>70</v>
      </c>
      <c r="B16" s="25">
        <v>45292</v>
      </c>
      <c r="C16" s="25">
        <v>45657</v>
      </c>
      <c r="D16" s="24">
        <f t="shared" si="2"/>
        <v>366</v>
      </c>
      <c r="I16" s="26"/>
    </row>
    <row r="17" ht="21" hidden="1" customHeight="1" spans="1:9">
      <c r="A17" s="27" t="s">
        <v>71</v>
      </c>
      <c r="B17" s="28">
        <v>45658</v>
      </c>
      <c r="C17" s="29">
        <v>46022</v>
      </c>
      <c r="D17" s="30">
        <f t="shared" si="2"/>
        <v>365</v>
      </c>
      <c r="H17" s="26"/>
      <c r="I17" s="26"/>
    </row>
    <row r="18" ht="14.25" hidden="1" spans="1:9">
      <c r="B18" s="31"/>
      <c r="C18" s="31"/>
      <c r="H18" s="26"/>
      <c r="I18" s="26"/>
    </row>
    <row r="20" spans="1:9">
      <c r="A20" t="s">
        <v>72</v>
      </c>
      <c r="B20" t="s">
        <v>73</v>
      </c>
      <c r="H20" s="26"/>
    </row>
    <row r="21" spans="1:9">
      <c r="B21" t="s">
        <v>74</v>
      </c>
    </row>
  </sheetData>
  <mergeCells count="32">
    <mergeCell ref="A14:D14"/>
    <mergeCell ref="A1:A2"/>
    <mergeCell ref="A3:A5"/>
    <mergeCell ref="A6:A8"/>
    <mergeCell ref="A9:A11"/>
    <mergeCell ref="B1:B2"/>
    <mergeCell ref="B3:B5"/>
    <mergeCell ref="B6:B8"/>
    <mergeCell ref="C1:C2"/>
    <mergeCell ref="C3:C5"/>
    <mergeCell ref="C6:C8"/>
    <mergeCell ref="D1:D2"/>
    <mergeCell ref="D3:D5"/>
    <mergeCell ref="D6:D8"/>
    <mergeCell ref="E1:E2"/>
    <mergeCell ref="E3:E5"/>
    <mergeCell ref="E6:E8"/>
    <mergeCell ref="F1:F2"/>
    <mergeCell ref="F3:F5"/>
    <mergeCell ref="F6:F8"/>
    <mergeCell ref="G1:G2"/>
    <mergeCell ref="G3:G5"/>
    <mergeCell ref="G6:G8"/>
    <mergeCell ref="H1:H2"/>
    <mergeCell ref="H3:H5"/>
    <mergeCell ref="H6:H8"/>
    <mergeCell ref="I1:I2"/>
    <mergeCell ref="J1:J2"/>
    <mergeCell ref="K1:K2"/>
    <mergeCell ref="L1:L2"/>
    <mergeCell ref="M1:M2"/>
    <mergeCell ref="N1:N2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C座311NOP房租</vt:lpstr>
      <vt:lpstr>3年测算 (一年一付)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15149</dc:creator>
  <cp:lastModifiedBy>hey jude</cp:lastModifiedBy>
  <dcterms:created xsi:type="dcterms:W3CDTF">2023-08-07T03:00:00Z</dcterms:created>
  <dcterms:modified xsi:type="dcterms:W3CDTF">2025-12-24T07:02:06Z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8AD4B2FA0FBE4DF9ABF85AB6EBA0EE22_13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
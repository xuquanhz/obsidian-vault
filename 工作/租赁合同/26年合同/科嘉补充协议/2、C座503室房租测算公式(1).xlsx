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2330" firstSheet="1"/>
  </bookViews>
  <sheets>
    <sheet name="C座503室" sheetId="1" r:id="rId1"/>
    <sheet name="3年测算 (一年一付) (2)" sheetId="7" state="hidden" r:id="rId2"/>
    <sheet name="水电能耗费押金" sheetId="8" r:id="rId3"/>
    <sheet name="C座809室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N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A14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4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M14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<sst xmlns="http://schemas.openxmlformats.org/spreadsheetml/2006/main" count="123" uniqueCount="69">
  <si>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</si>
  <si>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</si>
  <si>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</si>
  <si>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</si>
  <si>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</si>
  <si>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</si>
  <si>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</si>
  <si>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</si>
  <si>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</si>
  <si>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</si>
  <si>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费用起止时间</t>
  </si>
  <si>
    <t>应付款日期</t>
  </si>
  <si>
    <t>金额（元）</t>
  </si>
  <si>
    <t>C座503室</t>
  </si>
  <si>
    <t>半年一付</t>
  </si>
  <si>
    <t>第一年</t>
  </si>
  <si>
    <t>2024.11.1-2025.4.30</t>
  </si>
  <si>
    <t>本合同签约之日起10天内</t>
  </si>
  <si>
    <t>2025.5.1-2025.10.31</t>
  </si>
  <si>
    <t>2025年4月1日之前</t>
  </si>
  <si>
    <t>第二年</t>
  </si>
  <si>
    <t>2025.11.1-2026.4.30</t>
  </si>
  <si>
    <t>2025年10月1日之前</t>
  </si>
  <si>
    <t>2026.5.1-2026.10.31</t>
  </si>
  <si>
    <t>2026年4月1日之前</t>
  </si>
  <si>
    <t>合计</t>
  </si>
  <si>
    <t>房租时间数</t>
  </si>
  <si>
    <t>第一年时间</t>
  </si>
  <si>
    <t>第二年时间</t>
  </si>
  <si>
    <t>第三年时间</t>
  </si>
  <si>
    <t>C座809室</t>
  </si>
  <si>
    <t>2026.3.3-2026.9.2</t>
  </si>
  <si>
    <t>2026年3月13日前</t>
  </si>
  <si>
    <t>2026.9.3-2026.10.31</t>
  </si>
  <si>
    <t>2026年8月3日前</t>
  </si>
  <si>
    <t>备注：</t>
  </si>
  <si>
    <t>租金单价四舍五入后，保留2位小数。</t>
  </si>
  <si>
    <t>租金金额四舍五入后，保留整数。</t>
  </si>
  <si>
    <t>企业名称</t>
  </si>
  <si>
    <t>面积（平）</t>
  </si>
  <si>
    <t>水电押金标准
（/平）</t>
  </si>
  <si>
    <t>水电费押金</t>
  </si>
  <si>
    <t>公共能耗费押金标准
（/平）</t>
  </si>
  <si>
    <t>公共能耗费押金</t>
  </si>
  <si>
    <t>c座503室</t>
  </si>
  <si>
    <t>10元/㎡</t>
  </si>
  <si>
    <t>2元/㎡</t>
  </si>
  <si>
    <t>c座809室</t>
  </si>
  <si>
    <t>补交</t>
  </si>
  <si>
    <t>已支付房租（2025.11.1-2026.4.30）181天</t>
  </si>
  <si>
    <t>已支付天数</t>
  </si>
  <si>
    <t>每天房租</t>
  </si>
  <si>
    <t>已使用天数（2025.11.1-2026.3.2）</t>
  </si>
  <si>
    <t>已使用房租</t>
  </si>
  <si>
    <t>剩余房租金额</t>
  </si>
  <si>
    <t>新协议第一期房租</t>
  </si>
  <si>
    <t>原履约保证金</t>
  </si>
  <si>
    <t>新履约保证金</t>
  </si>
  <si>
    <t>补交保证金</t>
  </si>
  <si>
    <t>原水电能耗费</t>
  </si>
  <si>
    <t>新水电能耗费</t>
  </si>
  <si>
    <t>补交水电押金</t>
  </si>
  <si>
    <t>不含税</t>
  </si>
  <si>
    <t>税金</t>
  </si>
  <si>
    <t>合计全年</t>
  </si>
  <si>
    <t>A座3层305,杭州交投科创中心B座404</t>
  </si>
  <si>
    <t>一年一付</t>
  </si>
  <si>
    <t>第三年</t>
  </si>
  <si>
    <t>A座4层1-3、1-4、1-5、1-6、1-7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</si>
</sst>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/>
      <right/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3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2" fillId="8" borderId="38" applyNumberFormat="0" applyAlignment="0" applyProtection="0">
      <alignment vertical="center"/>
    </xf>
    <xf numFmtId="0" fontId="23" fillId="8" borderId="37" applyNumberFormat="0" applyAlignment="0" applyProtection="0">
      <alignment vertical="center"/>
    </xf>
    <xf numFmtId="0" fontId="24" fillId="9" borderId="39" applyNumberFormat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176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14" fontId="5" fillId="0" borderId="7" xfId="0" applyNumberFormat="1" applyFont="1" applyBorder="1">
      <alignment vertical="center"/>
    </xf>
    <xf numFmtId="0" fontId="5" fillId="0" borderId="8" xfId="0" applyFont="1" applyBorder="1">
      <alignment vertical="center"/>
    </xf>
    <xf numFmtId="14" fontId="5" fillId="0" borderId="9" xfId="0" applyNumberFormat="1" applyFont="1" applyBorder="1">
      <alignment vertical="center"/>
    </xf>
    <xf numFmtId="14" fontId="5" fillId="0" borderId="10" xfId="0" applyNumberFormat="1" applyFont="1" applyBorder="1">
      <alignment vertical="center"/>
    </xf>
    <xf numFmtId="0" fontId="5" fillId="0" borderId="11" xfId="0" applyFont="1" applyBorder="1">
      <alignment vertical="center"/>
    </xf>
    <xf numFmtId="0" fontId="0" fillId="0" borderId="12" xfId="0" applyBorder="1">
      <alignment vertical="center"/>
    </xf>
    <xf numFmtId="9" fontId="4" fillId="0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4" fontId="0" fillId="0" borderId="0" xfId="0" applyNumberFormat="1">
      <alignment vertical="center"/>
    </xf>
    <xf numFmtId="176" fontId="4" fillId="0" borderId="7" xfId="0" applyNumberFormat="1" applyFont="1" applyFill="1" applyBorder="1" applyAlignment="1">
      <alignment horizontal="center" vertical="center" wrapText="1"/>
    </xf>
    <xf numFmtId="177" fontId="6" fillId="0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0" xfId="0" applyNumberFormat="1" applyBorder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77" fontId="5" fillId="0" borderId="7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4" fontId="5" fillId="0" borderId="16" xfId="0" applyNumberFormat="1" applyFont="1" applyBorder="1">
      <alignment vertical="center"/>
    </xf>
    <xf numFmtId="14" fontId="5" fillId="0" borderId="17" xfId="0" applyNumberFormat="1" applyFont="1" applyBorder="1">
      <alignment vertical="center"/>
    </xf>
    <xf numFmtId="0" fontId="5" fillId="0" borderId="18" xfId="0" applyFont="1" applyBorder="1">
      <alignment vertical="center"/>
    </xf>
    <xf numFmtId="0" fontId="5" fillId="0" borderId="19" xfId="0" applyFont="1" applyBorder="1">
      <alignment vertical="center"/>
    </xf>
    <xf numFmtId="14" fontId="5" fillId="0" borderId="20" xfId="0" applyNumberFormat="1" applyFont="1" applyBorder="1">
      <alignment vertical="center"/>
    </xf>
    <xf numFmtId="0" fontId="5" fillId="0" borderId="21" xfId="0" applyFont="1" applyBorder="1">
      <alignment vertical="center"/>
    </xf>
    <xf numFmtId="14" fontId="5" fillId="0" borderId="22" xfId="0" applyNumberFormat="1" applyFont="1" applyBorder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4" fillId="0" borderId="7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0" fillId="4" borderId="7" xfId="0" applyFill="1" applyBorder="1">
      <alignment vertical="center"/>
    </xf>
    <xf numFmtId="177" fontId="0" fillId="0" borderId="7" xfId="0" applyNumberFormat="1" applyBorder="1">
      <alignment vertical="center"/>
    </xf>
    <xf numFmtId="177" fontId="0" fillId="4" borderId="7" xfId="0" applyNumberFormat="1" applyFill="1" applyBorder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176" fontId="4" fillId="0" borderId="25" xfId="0" applyNumberFormat="1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176" fontId="4" fillId="0" borderId="30" xfId="0" applyNumberFormat="1" applyFont="1" applyFill="1" applyBorder="1" applyAlignment="1">
      <alignment horizontal="center" vertical="center" wrapText="1"/>
    </xf>
    <xf numFmtId="177" fontId="4" fillId="4" borderId="25" xfId="0" applyNumberFormat="1" applyFont="1" applyFill="1" applyBorder="1" applyAlignment="1">
      <alignment horizontal="center" vertical="center" wrapText="1"/>
    </xf>
    <xf numFmtId="176" fontId="4" fillId="0" borderId="31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Fill="1" applyBorder="1" applyAlignment="1">
      <alignment horizontal="center" vertical="center" wrapText="1"/>
    </xf>
    <xf numFmtId="176" fontId="4" fillId="0" borderId="32" xfId="0" applyNumberFormat="1" applyFont="1" applyFill="1" applyBorder="1" applyAlignment="1">
      <alignment horizontal="center" vertical="center" wrapText="1"/>
    </xf>
    <xf numFmtId="177" fontId="4" fillId="0" borderId="25" xfId="0" applyNumberFormat="1" applyFont="1" applyFill="1" applyBorder="1" applyAlignment="1">
      <alignment horizontal="center" vertical="center" wrapText="1"/>
    </xf>
    <xf numFmtId="177" fontId="0" fillId="0" borderId="0" xfId="0" applyNumberFormat="1" applyBorder="1">
      <alignment vertical="center"/>
    </xf>
    <xf numFmtId="176" fontId="12" fillId="5" borderId="3" xfId="0" applyNumberFormat="1" applyFont="1" applyFill="1" applyBorder="1" applyAlignment="1">
      <alignment horizontal="center" vertical="center"/>
    </xf>
    <xf numFmtId="177" fontId="6" fillId="0" borderId="31" xfId="0" applyNumberFormat="1" applyFont="1" applyFill="1" applyBorder="1" applyAlignment="1">
      <alignment horizontal="center" vertical="center"/>
    </xf>
    <xf numFmtId="177" fontId="6" fillId="0" borderId="25" xfId="0" applyNumberFormat="1" applyFont="1" applyFill="1" applyBorder="1" applyAlignment="1">
      <alignment horizontal="center" vertical="center"/>
    </xf>
    <xf numFmtId="177" fontId="6" fillId="0" borderId="33" xfId="0" applyNumberFormat="1" applyFont="1" applyFill="1" applyBorder="1" applyAlignment="1">
      <alignment horizontal="center" vertical="center"/>
    </xf>
    <xf numFmtId="177" fontId="6" fillId="4" borderId="7" xfId="0" applyNumberFormat="1" applyFont="1" applyFill="1" applyBorder="1" applyAlignment="1">
      <alignment horizontal="center" vertical="center"/>
    </xf>
    <xf numFmtId="176" fontId="5" fillId="0" borderId="23" xfId="0" applyNumberFormat="1" applyFont="1" applyBorder="1">
      <alignment vertical="center"/>
    </xf>
    <xf numFmtId="176" fontId="5" fillId="0" borderId="29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abSelected="1" zoomScale="89" zoomScaleNormal="89" topLeftCell="C5" workbookViewId="0">
      <selection activeCell="L5" sqref="L5"/>
    </sheetView>
  </sheetViews>
  <sheetFormatPr defaultColWidth="8.725" defaultRowHeight="13.5"/>
  <cols>
    <col min="1" max="2" width="15.3583333333333" customWidth="1"/>
    <col min="3" max="3" width="20.375" customWidth="1"/>
    <col min="4" max="4" width="13.9416666666667" customWidth="1"/>
    <col min="5" max="5" width="14.1833333333333" customWidth="1"/>
    <col min="6" max="6" width="13.9416666666667" customWidth="1"/>
    <col min="7" max="7" width="15.8666666666667" customWidth="1"/>
    <col min="8" max="8" width="12.2083333333333" customWidth="1"/>
    <col min="9" max="9" width="11.5"/>
    <col min="10" max="10" width="12.6916666666667" customWidth="1"/>
    <col min="11" max="11" width="16.15" customWidth="1"/>
    <col min="12" max="12" width="31.6666666666667" customWidth="1"/>
    <col min="13" max="13" width="16.1333333333333" style="4" customWidth="1"/>
    <col min="14" max="14" width="24.2916666666667" style="4" customWidth="1"/>
    <col min="16" max="16" width="12.8166666666667"/>
  </cols>
  <sheetData>
    <row r="1" customFormat="1" ht="31" customHeight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86"/>
      <c r="N1" s="7" t="s">
        <v>11</v>
      </c>
    </row>
    <row r="2" customFormat="1" ht="31" customHeight="1" spans="1:14">
      <c r="A2" s="9"/>
      <c r="B2" s="10"/>
      <c r="C2" s="10"/>
      <c r="D2" s="10"/>
      <c r="E2" s="10"/>
      <c r="F2" s="10"/>
      <c r="G2" s="10"/>
      <c r="H2" s="10"/>
      <c r="I2" s="67"/>
      <c r="J2" s="67"/>
      <c r="K2" s="67"/>
      <c r="L2" s="67"/>
      <c r="M2" s="67" t="s">
        <v>12</v>
      </c>
      <c r="N2" s="67"/>
    </row>
    <row r="3" ht="24" customHeight="1" spans="1:14">
      <c r="A3" s="11" t="s">
        <v>13</v>
      </c>
      <c r="B3" s="11">
        <v>96.49</v>
      </c>
      <c r="C3" s="11">
        <v>1.8</v>
      </c>
      <c r="D3" s="11">
        <v>2</v>
      </c>
      <c r="E3" s="62">
        <f>(B3*C3*365/12)*D3</f>
        <v>10565.655</v>
      </c>
      <c r="F3" s="11">
        <f>SUM(M3:M6)</f>
        <v>129958</v>
      </c>
      <c r="G3" s="11" t="s">
        <v>14</v>
      </c>
      <c r="H3" s="11">
        <v>0.05</v>
      </c>
      <c r="I3" s="68" t="s">
        <v>15</v>
      </c>
      <c r="J3" s="69">
        <v>1</v>
      </c>
      <c r="K3" s="70">
        <f>C3</f>
        <v>1.8</v>
      </c>
      <c r="L3" s="70" t="s">
        <v>16</v>
      </c>
      <c r="M3" s="87">
        <f>ROUND(B3*K3*365/2,0)</f>
        <v>31697</v>
      </c>
      <c r="N3" s="88" t="s">
        <v>17</v>
      </c>
    </row>
    <row r="4" ht="24" customHeight="1" spans="1:14">
      <c r="A4" s="11"/>
      <c r="B4" s="11"/>
      <c r="C4" s="11"/>
      <c r="D4" s="11"/>
      <c r="E4" s="62"/>
      <c r="F4" s="11"/>
      <c r="G4" s="11"/>
      <c r="H4" s="11"/>
      <c r="I4" s="71"/>
      <c r="J4" s="11">
        <v>2</v>
      </c>
      <c r="K4" s="27">
        <f>C3</f>
        <v>1.8</v>
      </c>
      <c r="L4" s="70" t="s">
        <v>18</v>
      </c>
      <c r="M4" s="89">
        <f>ROUND(B3*K3*365/2,0)</f>
        <v>31697</v>
      </c>
      <c r="N4" s="28" t="s">
        <v>19</v>
      </c>
    </row>
    <row r="5" ht="24" customHeight="1" spans="1:14">
      <c r="A5" s="11"/>
      <c r="B5" s="11"/>
      <c r="C5" s="11"/>
      <c r="D5" s="11"/>
      <c r="E5" s="62"/>
      <c r="F5" s="11"/>
      <c r="G5" s="11"/>
      <c r="H5" s="11"/>
      <c r="I5" s="72" t="s">
        <v>20</v>
      </c>
      <c r="J5" s="11">
        <v>3</v>
      </c>
      <c r="K5" s="27">
        <f>ROUND(C3*(1+H3),2)</f>
        <v>1.89</v>
      </c>
      <c r="L5" s="70" t="s">
        <v>21</v>
      </c>
      <c r="M5" s="90">
        <f>ROUND(B3*K5*365/2,0)</f>
        <v>33282</v>
      </c>
      <c r="N5" s="28" t="s">
        <v>22</v>
      </c>
    </row>
    <row r="6" ht="24" customHeight="1" spans="1:14">
      <c r="A6" s="11"/>
      <c r="B6" s="11"/>
      <c r="C6" s="11"/>
      <c r="D6" s="11"/>
      <c r="E6" s="62"/>
      <c r="F6" s="11"/>
      <c r="G6" s="11"/>
      <c r="H6" s="11"/>
      <c r="I6" s="71"/>
      <c r="J6" s="11">
        <v>4</v>
      </c>
      <c r="K6" s="27">
        <f>ROUND(C3*(1+H3),2)</f>
        <v>1.89</v>
      </c>
      <c r="L6" s="70" t="s">
        <v>23</v>
      </c>
      <c r="M6" s="28">
        <f>ROUND(B3*K5*365/2,0)</f>
        <v>33282</v>
      </c>
      <c r="N6" s="28" t="s">
        <v>24</v>
      </c>
    </row>
    <row r="7" ht="28" customHeight="1" spans="1:15">
      <c r="A7" s="11"/>
      <c r="B7" s="11"/>
      <c r="C7" s="11"/>
      <c r="D7" s="11"/>
      <c r="E7" s="62"/>
      <c r="F7" s="11"/>
      <c r="G7" s="11"/>
      <c r="H7" s="11"/>
      <c r="I7" s="73" t="s">
        <v>25</v>
      </c>
      <c r="J7" s="74"/>
      <c r="K7" s="74"/>
      <c r="L7" s="75"/>
      <c r="M7" s="91">
        <f>SUM(M3:M6)</f>
        <v>129958</v>
      </c>
      <c r="N7" s="92"/>
      <c r="O7" s="13"/>
    </row>
    <row r="8" spans="2:8">
      <c r="B8" s="13"/>
      <c r="C8" s="13"/>
      <c r="D8" s="13"/>
      <c r="H8" s="13"/>
    </row>
    <row r="9" ht="21" hidden="1" customHeight="1" spans="1:4">
      <c r="A9" s="35" t="s">
        <v>26</v>
      </c>
      <c r="B9" s="36"/>
      <c r="C9" s="35"/>
      <c r="D9" s="35"/>
    </row>
    <row r="10" ht="21" hidden="1" customHeight="1" spans="1:4">
      <c r="A10" s="37" t="s">
        <v>27</v>
      </c>
      <c r="B10" s="38"/>
      <c r="C10" s="39"/>
      <c r="D10" s="40">
        <v>365</v>
      </c>
    </row>
    <row r="11" ht="21" hidden="1" customHeight="1" spans="1:9">
      <c r="A11" s="41" t="s">
        <v>28</v>
      </c>
      <c r="B11" s="38"/>
      <c r="C11" s="42"/>
      <c r="D11" s="43">
        <v>365</v>
      </c>
      <c r="I11" s="26"/>
    </row>
    <row r="12" ht="21" hidden="1" customHeight="1" spans="1:9">
      <c r="A12" s="17" t="s">
        <v>29</v>
      </c>
      <c r="B12" s="18"/>
      <c r="C12" s="44"/>
      <c r="D12" s="20">
        <v>365</v>
      </c>
      <c r="H12" s="26"/>
      <c r="I12" s="26"/>
    </row>
    <row r="13" ht="14.25" spans="2:9">
      <c r="B13" s="13"/>
      <c r="C13" s="13"/>
      <c r="H13" s="26"/>
      <c r="I13" s="26"/>
    </row>
    <row r="14" ht="14.25" spans="1:13">
      <c r="A14" s="45" t="s">
        <v>0</v>
      </c>
      <c r="B14" s="46" t="s">
        <v>1</v>
      </c>
      <c r="C14" s="46" t="s">
        <v>2</v>
      </c>
      <c r="D14" s="46" t="s">
        <v>3</v>
      </c>
      <c r="E14" s="46" t="s">
        <v>4</v>
      </c>
      <c r="F14" s="46" t="s">
        <v>5</v>
      </c>
      <c r="G14" s="46" t="s">
        <v>6</v>
      </c>
      <c r="H14" s="7" t="s">
        <v>7</v>
      </c>
      <c r="I14" s="46" t="s">
        <v>8</v>
      </c>
      <c r="J14" s="46" t="s">
        <v>9</v>
      </c>
      <c r="K14" s="46" t="s">
        <v>10</v>
      </c>
      <c r="L14" s="76"/>
      <c r="M14" s="46" t="s">
        <v>11</v>
      </c>
    </row>
    <row r="15" ht="15" spans="1:13">
      <c r="A15" s="47"/>
      <c r="B15" s="48"/>
      <c r="C15" s="48"/>
      <c r="D15" s="48"/>
      <c r="E15" s="48"/>
      <c r="F15" s="48"/>
      <c r="G15" s="48"/>
      <c r="H15" s="10"/>
      <c r="I15" s="48"/>
      <c r="J15" s="48"/>
      <c r="K15" s="77"/>
      <c r="L15" s="77" t="s">
        <v>12</v>
      </c>
      <c r="M15" s="77"/>
    </row>
    <row r="16" ht="67" customHeight="1" spans="1:13">
      <c r="A16" s="11" t="s">
        <v>30</v>
      </c>
      <c r="B16" s="11">
        <v>164.8</v>
      </c>
      <c r="C16" s="11">
        <v>1.9</v>
      </c>
      <c r="D16" s="11">
        <v>2</v>
      </c>
      <c r="E16" s="62">
        <f>(B16*C16*365/12)*D16</f>
        <v>19048.1333333333</v>
      </c>
      <c r="F16" s="62">
        <f>L18</f>
        <v>75618.48</v>
      </c>
      <c r="G16" s="11" t="s">
        <v>14</v>
      </c>
      <c r="H16" s="11">
        <v>0.05</v>
      </c>
      <c r="I16" s="78" t="s">
        <v>15</v>
      </c>
      <c r="J16" s="27">
        <f>C16</f>
        <v>1.9</v>
      </c>
      <c r="K16" s="70" t="s">
        <v>31</v>
      </c>
      <c r="L16" s="79">
        <f>1.9*B16*365/2</f>
        <v>57144.4</v>
      </c>
      <c r="M16" s="28" t="s">
        <v>32</v>
      </c>
    </row>
    <row r="17" ht="67" customHeight="1" spans="1:13">
      <c r="A17" s="11"/>
      <c r="B17" s="11"/>
      <c r="C17" s="11"/>
      <c r="D17" s="11"/>
      <c r="E17" s="62"/>
      <c r="F17" s="62"/>
      <c r="G17" s="11"/>
      <c r="H17" s="11"/>
      <c r="I17" s="80"/>
      <c r="J17" s="81">
        <v>1.9</v>
      </c>
      <c r="K17" s="82" t="s">
        <v>33</v>
      </c>
      <c r="L17" s="79">
        <f>B16*C16*59</f>
        <v>18474.08</v>
      </c>
      <c r="M17" s="28" t="s">
        <v>34</v>
      </c>
    </row>
    <row r="18" ht="33" customHeight="1" spans="1:13">
      <c r="A18" s="11"/>
      <c r="B18" s="11"/>
      <c r="C18" s="11"/>
      <c r="D18" s="11"/>
      <c r="E18" s="62"/>
      <c r="F18" s="62"/>
      <c r="G18" s="11"/>
      <c r="H18" s="11"/>
      <c r="I18" s="80" t="s">
        <v>25</v>
      </c>
      <c r="J18" s="83"/>
      <c r="K18" s="82"/>
      <c r="L18" s="84">
        <f>SUM(L16:L17)</f>
        <v>75618.48</v>
      </c>
      <c r="M18" s="70"/>
    </row>
    <row r="19" spans="9:14">
      <c r="I19" s="13"/>
      <c r="J19" s="13"/>
      <c r="K19" s="13"/>
      <c r="L19" s="13"/>
      <c r="M19" s="31"/>
      <c r="N19" s="31"/>
    </row>
    <row r="20" spans="1:14">
      <c r="A20" t="s">
        <v>35</v>
      </c>
      <c r="B20" t="s">
        <v>36</v>
      </c>
      <c r="H20" s="26"/>
      <c r="I20" s="13"/>
      <c r="J20" s="13"/>
      <c r="K20" s="13"/>
      <c r="L20" s="13"/>
      <c r="M20" s="31"/>
      <c r="N20" s="31"/>
    </row>
    <row r="21" spans="2:14">
      <c r="B21" t="s">
        <v>37</v>
      </c>
      <c r="K21" s="13"/>
      <c r="L21" s="13"/>
      <c r="M21" s="31"/>
      <c r="N21" s="31"/>
    </row>
    <row r="22" ht="31" customHeight="1" spans="11:14">
      <c r="K22" s="13"/>
      <c r="L22" s="13"/>
      <c r="M22" s="31"/>
      <c r="N22" s="31"/>
    </row>
    <row r="23" spans="9:14">
      <c r="I23" s="13"/>
      <c r="J23" s="13"/>
      <c r="K23" s="13"/>
      <c r="L23" s="13"/>
      <c r="M23" s="31"/>
      <c r="N23" s="31"/>
    </row>
    <row r="24" ht="29" customHeight="1" spans="1:14">
      <c r="A24" s="49" t="s">
        <v>38</v>
      </c>
      <c r="B24" s="49" t="s">
        <v>39</v>
      </c>
      <c r="C24" s="50" t="s">
        <v>40</v>
      </c>
      <c r="D24" s="49" t="s">
        <v>41</v>
      </c>
      <c r="E24" s="50" t="s">
        <v>42</v>
      </c>
      <c r="F24" s="49" t="s">
        <v>43</v>
      </c>
      <c r="I24" s="13"/>
      <c r="J24" s="13"/>
      <c r="K24" s="13"/>
      <c r="L24" s="13"/>
      <c r="M24" s="31"/>
      <c r="N24" s="31"/>
    </row>
    <row r="25" ht="25" customHeight="1" spans="1:14">
      <c r="A25" s="51" t="s">
        <v>44</v>
      </c>
      <c r="B25" s="52">
        <v>96.49</v>
      </c>
      <c r="C25" s="52" t="s">
        <v>45</v>
      </c>
      <c r="D25" s="53">
        <f>B25*10</f>
        <v>964.9</v>
      </c>
      <c r="E25" s="52" t="s">
        <v>46</v>
      </c>
      <c r="F25" s="53">
        <f>B25*2</f>
        <v>192.98</v>
      </c>
      <c r="H25">
        <f>D25+F25</f>
        <v>1157.88</v>
      </c>
      <c r="I25" s="13"/>
      <c r="J25" s="13"/>
      <c r="K25" s="13"/>
      <c r="L25" s="13"/>
      <c r="M25" s="31"/>
      <c r="N25" s="31"/>
    </row>
    <row r="26" spans="1:14">
      <c r="A26" s="54"/>
      <c r="B26" s="54"/>
      <c r="C26" s="54"/>
      <c r="D26" s="54"/>
      <c r="E26" s="54"/>
      <c r="F26" s="54"/>
      <c r="I26" s="13"/>
      <c r="J26" s="13"/>
      <c r="K26" s="13"/>
      <c r="L26" s="13"/>
      <c r="M26" s="31"/>
      <c r="N26" s="31"/>
    </row>
    <row r="27" spans="1:14">
      <c r="A27" s="54"/>
      <c r="B27" s="54"/>
      <c r="C27" s="54"/>
      <c r="D27" s="54"/>
      <c r="E27" s="54"/>
      <c r="F27" s="54"/>
      <c r="I27" s="13"/>
      <c r="J27" s="13"/>
      <c r="K27" s="13"/>
      <c r="L27" s="13"/>
      <c r="M27" s="31"/>
      <c r="N27" s="31"/>
    </row>
    <row r="28" ht="31" customHeight="1" spans="1:14">
      <c r="A28" s="49" t="s">
        <v>38</v>
      </c>
      <c r="B28" s="49" t="s">
        <v>39</v>
      </c>
      <c r="C28" s="50" t="s">
        <v>40</v>
      </c>
      <c r="D28" s="49" t="s">
        <v>41</v>
      </c>
      <c r="E28" s="50" t="s">
        <v>42</v>
      </c>
      <c r="F28" s="49" t="s">
        <v>43</v>
      </c>
      <c r="I28" s="13"/>
      <c r="J28" s="13"/>
      <c r="K28" s="13"/>
      <c r="L28" s="13"/>
      <c r="M28" s="31"/>
      <c r="N28" s="31"/>
    </row>
    <row r="29" ht="24" customHeight="1" spans="1:14">
      <c r="A29" s="51" t="s">
        <v>47</v>
      </c>
      <c r="B29" s="52">
        <v>164.8</v>
      </c>
      <c r="C29" s="52" t="s">
        <v>45</v>
      </c>
      <c r="D29" s="53">
        <f>B29*10</f>
        <v>1648</v>
      </c>
      <c r="E29" s="52" t="s">
        <v>46</v>
      </c>
      <c r="F29" s="53">
        <f>B29*2</f>
        <v>329.6</v>
      </c>
      <c r="H29">
        <f>D29+F29</f>
        <v>1977.6</v>
      </c>
      <c r="I29" s="13"/>
      <c r="J29" s="13"/>
      <c r="K29" s="13"/>
      <c r="L29" s="13"/>
      <c r="M29" s="31"/>
      <c r="N29" s="31"/>
    </row>
    <row r="30" spans="9:14">
      <c r="I30" s="13"/>
      <c r="J30" s="13"/>
      <c r="K30" s="13"/>
      <c r="L30" s="13"/>
      <c r="M30" s="31"/>
      <c r="N30" s="31"/>
    </row>
    <row r="31" ht="33" customHeight="1" spans="9:14">
      <c r="I31" s="13"/>
      <c r="J31" s="13"/>
      <c r="K31" s="85"/>
      <c r="L31" s="13"/>
      <c r="M31" s="31"/>
      <c r="N31" s="31"/>
    </row>
    <row r="32" ht="27" customHeight="1" spans="7:14">
      <c r="G32" s="63" t="s">
        <v>48</v>
      </c>
      <c r="H32" s="63">
        <f>H29-H25</f>
        <v>819.72</v>
      </c>
      <c r="I32" s="13"/>
      <c r="J32" s="13"/>
      <c r="K32" s="13"/>
      <c r="L32" s="13"/>
      <c r="M32" s="31"/>
      <c r="N32" s="31"/>
    </row>
    <row r="33" spans="9:14">
      <c r="I33" s="13"/>
      <c r="J33" s="13"/>
      <c r="K33" s="13"/>
      <c r="L33" s="13"/>
      <c r="M33" s="31"/>
      <c r="N33" s="31"/>
    </row>
    <row r="34" spans="9:14">
      <c r="I34" s="13"/>
      <c r="J34" s="13"/>
      <c r="K34" s="13"/>
      <c r="L34" s="13"/>
      <c r="M34" s="31"/>
      <c r="N34" s="31"/>
    </row>
    <row r="35" spans="9:14">
      <c r="I35" s="13"/>
      <c r="J35" s="13"/>
      <c r="K35" s="13"/>
      <c r="L35" s="13"/>
      <c r="M35" s="31"/>
      <c r="N35" s="31"/>
    </row>
    <row r="36" spans="9:14">
      <c r="I36" s="13"/>
      <c r="J36" s="13"/>
      <c r="K36" s="13"/>
      <c r="L36" s="13"/>
      <c r="M36" s="31"/>
      <c r="N36" s="31"/>
    </row>
    <row r="37" ht="54" spans="1:14">
      <c r="A37" s="55" t="s">
        <v>49</v>
      </c>
      <c r="B37" s="55" t="s">
        <v>50</v>
      </c>
      <c r="C37" s="56" t="s">
        <v>51</v>
      </c>
      <c r="D37" s="55" t="s">
        <v>52</v>
      </c>
      <c r="E37" s="55" t="s">
        <v>53</v>
      </c>
      <c r="F37" s="59" t="s">
        <v>54</v>
      </c>
      <c r="G37" s="64" t="s">
        <v>55</v>
      </c>
      <c r="I37" s="13"/>
      <c r="J37" s="13"/>
      <c r="K37" s="13"/>
      <c r="L37" s="13"/>
      <c r="M37" s="31"/>
      <c r="N37" s="31"/>
    </row>
    <row r="38" spans="1:14">
      <c r="A38" s="29">
        <v>33282</v>
      </c>
      <c r="B38" s="29">
        <v>181</v>
      </c>
      <c r="C38" s="57">
        <f>A38/B38</f>
        <v>183.878453038674</v>
      </c>
      <c r="D38" s="58">
        <v>122</v>
      </c>
      <c r="E38" s="65">
        <f>D38*C38</f>
        <v>22433.1712707182</v>
      </c>
      <c r="F38" s="65">
        <f>A38-E38</f>
        <v>10848.8287292818</v>
      </c>
      <c r="G38" s="66">
        <f>L16-F38</f>
        <v>46295.5712707182</v>
      </c>
      <c r="I38" s="13"/>
      <c r="J38" s="13"/>
      <c r="K38" s="13"/>
      <c r="L38" s="13"/>
      <c r="M38" s="31"/>
      <c r="N38" s="31"/>
    </row>
    <row r="41" spans="7:7">
      <c r="G41">
        <f>L16+C43+C46-F38</f>
        <v>55597.2912707182</v>
      </c>
    </row>
    <row r="42" spans="1:3">
      <c r="A42" s="56" t="s">
        <v>56</v>
      </c>
      <c r="B42" s="56" t="s">
        <v>57</v>
      </c>
      <c r="C42" s="59" t="s">
        <v>58</v>
      </c>
    </row>
    <row r="43" spans="1:3">
      <c r="A43" s="29">
        <v>10566</v>
      </c>
      <c r="B43" s="29">
        <v>19048</v>
      </c>
      <c r="C43" s="60">
        <f>B43-A43</f>
        <v>8482</v>
      </c>
    </row>
    <row r="45" spans="1:3">
      <c r="A45" s="56" t="s">
        <v>59</v>
      </c>
      <c r="B45" s="56" t="s">
        <v>60</v>
      </c>
      <c r="C45" s="59" t="s">
        <v>61</v>
      </c>
    </row>
    <row r="46" spans="1:3">
      <c r="A46" s="29">
        <v>1157.88</v>
      </c>
      <c r="B46" s="29">
        <v>1977.6</v>
      </c>
      <c r="C46" s="60">
        <f>B46-A46</f>
        <v>819.72</v>
      </c>
    </row>
    <row r="49" spans="3:3">
      <c r="C49" s="61"/>
    </row>
  </sheetData>
  <mergeCells count="47">
    <mergeCell ref="I7:L7"/>
    <mergeCell ref="A9:D9"/>
    <mergeCell ref="I18:K18"/>
    <mergeCell ref="A1:A2"/>
    <mergeCell ref="A3:A7"/>
    <mergeCell ref="A14:A15"/>
    <mergeCell ref="A16:A18"/>
    <mergeCell ref="B1:B2"/>
    <mergeCell ref="B3:B7"/>
    <mergeCell ref="B14:B15"/>
    <mergeCell ref="B16:B18"/>
    <mergeCell ref="C1:C2"/>
    <mergeCell ref="C3:C7"/>
    <mergeCell ref="C14:C15"/>
    <mergeCell ref="C16:C18"/>
    <mergeCell ref="D1:D2"/>
    <mergeCell ref="D3:D7"/>
    <mergeCell ref="D14:D15"/>
    <mergeCell ref="D16:D18"/>
    <mergeCell ref="E1:E2"/>
    <mergeCell ref="E3:E7"/>
    <mergeCell ref="E14:E15"/>
    <mergeCell ref="E16:E18"/>
    <mergeCell ref="F1:F2"/>
    <mergeCell ref="F3:F7"/>
    <mergeCell ref="F14:F15"/>
    <mergeCell ref="F16:F18"/>
    <mergeCell ref="G1:G2"/>
    <mergeCell ref="G3:G7"/>
    <mergeCell ref="G14:G15"/>
    <mergeCell ref="G16:G18"/>
    <mergeCell ref="H1:H2"/>
    <mergeCell ref="H3:H7"/>
    <mergeCell ref="H14:H15"/>
    <mergeCell ref="H16:H18"/>
    <mergeCell ref="I1:I2"/>
    <mergeCell ref="I3:I4"/>
    <mergeCell ref="I5:I6"/>
    <mergeCell ref="I14:I15"/>
    <mergeCell ref="I16:I17"/>
    <mergeCell ref="J1:J2"/>
    <mergeCell ref="J14:J15"/>
    <mergeCell ref="K1:K2"/>
    <mergeCell ref="K14:K15"/>
    <mergeCell ref="L1:L2"/>
    <mergeCell ref="M14:M15"/>
    <mergeCell ref="N1:N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4" customWidth="1"/>
    <col min="12" max="12" width="24.2916666666667" customWidth="1"/>
    <col min="13" max="13" width="21.475" customWidth="1"/>
    <col min="14" max="14" width="24.2916666666667" style="4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11</v>
      </c>
      <c r="L1" s="7" t="s">
        <v>62</v>
      </c>
      <c r="M1" s="7" t="s">
        <v>63</v>
      </c>
      <c r="N1" s="32" t="s">
        <v>64</v>
      </c>
    </row>
    <row r="2" customFormat="1" ht="31" customHeight="1" spans="1:14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 t="s">
        <v>62</v>
      </c>
      <c r="M2" s="10" t="s">
        <v>63</v>
      </c>
      <c r="N2" s="33"/>
    </row>
    <row r="3" ht="22" customHeight="1" spans="1:14">
      <c r="A3" s="11" t="s">
        <v>65</v>
      </c>
      <c r="B3" s="11">
        <f>317.49+707.55</f>
        <v>1025.04</v>
      </c>
      <c r="C3" s="11">
        <v>3.1</v>
      </c>
      <c r="D3" s="11">
        <v>0</v>
      </c>
      <c r="E3" s="11">
        <f>(B3*C3*365/12)*D3</f>
        <v>0</v>
      </c>
      <c r="F3" s="11"/>
      <c r="G3" s="11" t="s">
        <v>66</v>
      </c>
      <c r="H3" s="22">
        <v>0.03</v>
      </c>
      <c r="I3" s="11" t="s">
        <v>15</v>
      </c>
      <c r="J3" s="27">
        <f>C3</f>
        <v>3.1</v>
      </c>
      <c r="K3" s="28"/>
      <c r="L3" s="29">
        <f t="shared" ref="L3:L8" si="0">ROUND(N3/1.09,2)</f>
        <v>532033.03</v>
      </c>
      <c r="M3" s="29">
        <f t="shared" ref="M3:M8" si="1">N3-L3</f>
        <v>47882.97</v>
      </c>
      <c r="N3" s="34">
        <f>ROUND(B3*J3*365/2,0)</f>
        <v>579916</v>
      </c>
    </row>
    <row r="4" ht="22" customHeight="1" spans="1:14">
      <c r="A4" s="11"/>
      <c r="B4" s="11"/>
      <c r="C4" s="11"/>
      <c r="D4" s="11"/>
      <c r="E4" s="11"/>
      <c r="F4" s="11"/>
      <c r="G4" s="11"/>
      <c r="H4" s="11"/>
      <c r="I4" s="11" t="s">
        <v>20</v>
      </c>
      <c r="J4" s="27">
        <f>ROUND(C3*(1+H3),2)</f>
        <v>3.19</v>
      </c>
      <c r="K4" s="28"/>
      <c r="L4" s="29">
        <f t="shared" si="0"/>
        <v>1094958.72</v>
      </c>
      <c r="M4" s="29">
        <f t="shared" si="1"/>
        <v>98546.28</v>
      </c>
      <c r="N4" s="34">
        <f>ROUND(B3*J4*365,0)</f>
        <v>1193505</v>
      </c>
    </row>
    <row r="5" ht="22" customHeight="1" spans="1:14">
      <c r="A5" s="11"/>
      <c r="B5" s="11"/>
      <c r="C5" s="11"/>
      <c r="D5" s="11"/>
      <c r="E5" s="11"/>
      <c r="F5" s="11"/>
      <c r="G5" s="11"/>
      <c r="H5" s="11"/>
      <c r="I5" s="11" t="s">
        <v>67</v>
      </c>
      <c r="J5" s="27">
        <f>ROUND(C3*(1+H3)*(1+H3),2)</f>
        <v>3.29</v>
      </c>
      <c r="K5" s="28"/>
      <c r="L5" s="29">
        <f t="shared" si="0"/>
        <v>1129283.49</v>
      </c>
      <c r="M5" s="29">
        <f t="shared" si="1"/>
        <v>101635.51</v>
      </c>
      <c r="N5" s="34">
        <f>ROUND(B3*J5*365,0)</f>
        <v>1230919</v>
      </c>
    </row>
    <row r="6" ht="22" customHeight="1" spans="1:14">
      <c r="A6" s="11" t="s">
        <v>68</v>
      </c>
      <c r="B6" s="11">
        <v>210.8</v>
      </c>
      <c r="C6" s="11">
        <v>3.1</v>
      </c>
      <c r="D6" s="11">
        <v>0</v>
      </c>
      <c r="E6" s="11">
        <f>(B3*C3*365/12)*D3</f>
        <v>0</v>
      </c>
      <c r="F6" s="11"/>
      <c r="G6" s="11" t="s">
        <v>66</v>
      </c>
      <c r="H6" s="22">
        <v>0.03</v>
      </c>
      <c r="I6" s="11" t="s">
        <v>15</v>
      </c>
      <c r="J6" s="27">
        <f>C6</f>
        <v>3.1</v>
      </c>
      <c r="K6" s="30"/>
      <c r="L6" s="29">
        <f t="shared" si="0"/>
        <v>218825.69</v>
      </c>
      <c r="M6" s="29">
        <f t="shared" si="1"/>
        <v>19694.31</v>
      </c>
      <c r="N6" s="34">
        <f>ROUND(B6*J6*365,0)</f>
        <v>238520</v>
      </c>
    </row>
    <row r="7" ht="22" customHeight="1" spans="1:14">
      <c r="A7" s="11"/>
      <c r="B7" s="11"/>
      <c r="C7" s="11"/>
      <c r="D7" s="11"/>
      <c r="E7" s="11"/>
      <c r="F7" s="11"/>
      <c r="G7" s="11"/>
      <c r="H7" s="11"/>
      <c r="I7" s="11" t="s">
        <v>20</v>
      </c>
      <c r="J7" s="27">
        <f>ROUND(C6*(1+H6),2)</f>
        <v>3.19</v>
      </c>
      <c r="K7" s="30"/>
      <c r="L7" s="29">
        <f t="shared" si="0"/>
        <v>225178.9</v>
      </c>
      <c r="M7" s="29">
        <f t="shared" si="1"/>
        <v>20266.1</v>
      </c>
      <c r="N7" s="34">
        <f>ROUND(B6*J7*365,0)</f>
        <v>245445</v>
      </c>
    </row>
    <row r="8" ht="22" customHeight="1" spans="1:14">
      <c r="A8" s="11"/>
      <c r="B8" s="11"/>
      <c r="C8" s="11"/>
      <c r="D8" s="11"/>
      <c r="E8" s="11"/>
      <c r="F8" s="11"/>
      <c r="G8" s="11"/>
      <c r="H8" s="11"/>
      <c r="I8" s="11" t="s">
        <v>67</v>
      </c>
      <c r="J8" s="27">
        <f>ROUND(C6*(1+H6)*(1+H6),2)</f>
        <v>3.29</v>
      </c>
      <c r="K8" s="30"/>
      <c r="L8" s="29">
        <f t="shared" si="0"/>
        <v>232237.61</v>
      </c>
      <c r="M8" s="29">
        <f t="shared" si="1"/>
        <v>20901.39</v>
      </c>
      <c r="N8" s="34">
        <f>ROUND(B6*J8*365,0)</f>
        <v>253139</v>
      </c>
    </row>
    <row r="9" ht="22" customHeight="1" spans="1:14">
      <c r="A9" s="11" t="s">
        <v>25</v>
      </c>
      <c r="B9" s="12"/>
      <c r="C9" s="12"/>
      <c r="D9" s="12"/>
      <c r="E9" s="23"/>
      <c r="F9" s="12"/>
      <c r="G9" s="12"/>
      <c r="H9" s="12"/>
      <c r="I9" s="11" t="s">
        <v>15</v>
      </c>
      <c r="J9" s="27">
        <v>3.1</v>
      </c>
      <c r="K9" s="30"/>
      <c r="L9" s="29">
        <f>L3+L6</f>
        <v>750858.72</v>
      </c>
      <c r="M9" s="29">
        <f>M3+M6</f>
        <v>67577.28</v>
      </c>
      <c r="N9" s="34">
        <f>N3+N6</f>
        <v>818436</v>
      </c>
    </row>
    <row r="10" ht="22" customHeight="1" spans="1:14">
      <c r="A10" s="11"/>
      <c r="B10" s="12"/>
      <c r="C10" s="12"/>
      <c r="D10" s="12"/>
      <c r="E10" s="23"/>
      <c r="F10" s="12"/>
      <c r="G10" s="12"/>
      <c r="H10" s="12"/>
      <c r="I10" s="11" t="s">
        <v>20</v>
      </c>
      <c r="J10" s="27">
        <v>3.19</v>
      </c>
      <c r="K10" s="30"/>
      <c r="L10" s="29">
        <f>L4+L7</f>
        <v>1320137.62</v>
      </c>
      <c r="M10" s="29">
        <f>M4+M7</f>
        <v>118812.38</v>
      </c>
      <c r="N10" s="34">
        <f>N4+N7</f>
        <v>1438950</v>
      </c>
    </row>
    <row r="11" ht="22" customHeight="1" spans="1:14">
      <c r="A11" s="11"/>
      <c r="B11" s="12"/>
      <c r="C11" s="12"/>
      <c r="D11" s="12"/>
      <c r="E11" s="23"/>
      <c r="F11" s="12"/>
      <c r="G11" s="12"/>
      <c r="H11" s="12"/>
      <c r="I11" s="11" t="s">
        <v>67</v>
      </c>
      <c r="J11" s="27">
        <v>3.29</v>
      </c>
      <c r="K11" s="30"/>
      <c r="L11" s="29">
        <f>L5+L8</f>
        <v>1361521.1</v>
      </c>
      <c r="M11" s="29">
        <f>M5+M8</f>
        <v>122536.9</v>
      </c>
      <c r="N11" s="34">
        <f>N5+N8</f>
        <v>1484058</v>
      </c>
    </row>
    <row r="12" ht="22" customHeight="1" spans="1:14">
      <c r="A12" s="12"/>
      <c r="B12" s="12"/>
      <c r="C12" s="12"/>
      <c r="D12" s="12"/>
      <c r="E12" s="23"/>
      <c r="F12" s="12"/>
      <c r="G12" s="12"/>
      <c r="H12" s="12"/>
      <c r="I12" s="12"/>
      <c r="J12" s="12"/>
      <c r="K12" s="30"/>
      <c r="L12" s="12"/>
      <c r="M12" s="12"/>
      <c r="N12" s="30"/>
    </row>
    <row r="13" ht="22" customHeight="1" spans="1:5">
      <c r="A13" s="13"/>
      <c r="B13" s="13"/>
      <c r="C13" s="13"/>
      <c r="D13" s="13"/>
      <c r="E13" s="24"/>
    </row>
    <row r="14" ht="21" hidden="1" customHeight="1" spans="1:14">
      <c r="A14" s="14" t="s">
        <v>26</v>
      </c>
      <c r="B14" s="14"/>
      <c r="C14" s="14"/>
      <c r="D14" s="14"/>
      <c r="E14" s="25"/>
      <c r="F14" s="13"/>
      <c r="G14" s="13"/>
      <c r="H14" s="13"/>
      <c r="I14" s="13"/>
      <c r="J14" s="13"/>
      <c r="K14" s="31"/>
      <c r="L14" s="13"/>
      <c r="M14" s="13"/>
      <c r="N14" s="31"/>
    </row>
    <row r="15" ht="21" hidden="1" customHeight="1" spans="1:4">
      <c r="A15" s="15" t="s">
        <v>27</v>
      </c>
      <c r="B15" s="16">
        <v>45108</v>
      </c>
      <c r="C15" s="16">
        <v>45291</v>
      </c>
      <c r="D15" s="15">
        <f t="shared" ref="D15:D17" si="2">IF(B15="",0,C15-B15+1)</f>
        <v>184</v>
      </c>
    </row>
    <row r="16" ht="21" hidden="1" customHeight="1" spans="1:9">
      <c r="A16" s="15" t="s">
        <v>28</v>
      </c>
      <c r="B16" s="16">
        <v>45292</v>
      </c>
      <c r="C16" s="16">
        <v>45657</v>
      </c>
      <c r="D16" s="15">
        <f t="shared" si="2"/>
        <v>366</v>
      </c>
      <c r="I16" s="26"/>
    </row>
    <row r="17" ht="21" hidden="1" customHeight="1" spans="1:9">
      <c r="A17" s="17" t="s">
        <v>29</v>
      </c>
      <c r="B17" s="18">
        <v>45658</v>
      </c>
      <c r="C17" s="19">
        <v>46022</v>
      </c>
      <c r="D17" s="20">
        <f t="shared" si="2"/>
        <v>365</v>
      </c>
      <c r="H17" s="26"/>
      <c r="I17" s="26"/>
    </row>
    <row r="18" ht="14.25" hidden="1" spans="2:9">
      <c r="B18" s="21"/>
      <c r="C18" s="21"/>
      <c r="H18" s="26"/>
      <c r="I18" s="26"/>
    </row>
    <row r="20" spans="1:8">
      <c r="A20" t="s">
        <v>35</v>
      </c>
      <c r="B20" t="s">
        <v>36</v>
      </c>
      <c r="H20" s="26"/>
    </row>
    <row r="21" spans="2:2">
      <c r="B21" t="s">
        <v>37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A1" sqref="A1:H9"/>
    </sheetView>
  </sheetViews>
  <sheetFormatPr defaultColWidth="8.725" defaultRowHeight="13.5" outlineLevelRow="5"/>
  <cols>
    <col min="1" max="1" width="27.6333333333333" customWidth="1"/>
    <col min="2" max="2" width="14" customWidth="1"/>
    <col min="3" max="3" width="17.9083333333333" customWidth="1"/>
    <col min="4" max="4" width="18" customWidth="1"/>
    <col min="5" max="5" width="22" customWidth="1"/>
    <col min="6" max="6" width="20.1833333333333" customWidth="1"/>
  </cols>
  <sheetData>
    <row r="2" ht="27" customHeight="1"/>
    <row r="6" ht="26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:M6"/>
    </sheetView>
  </sheetViews>
  <sheetFormatPr defaultColWidth="9" defaultRowHeight="13.5" outlineLevelRow="5"/>
  <cols>
    <col min="11" max="11" width="21.875" customWidth="1"/>
    <col min="12" max="12" width="11.5"/>
    <col min="13" max="13" width="21.5" customWidth="1"/>
  </cols>
  <sheetData>
    <row r="1" s="1" customFormat="1" ht="31" customHeight="1" spans="1:13">
      <c r="A1"/>
      <c r="B1"/>
      <c r="C1"/>
      <c r="D1"/>
      <c r="E1"/>
      <c r="F1"/>
      <c r="G1"/>
      <c r="H1"/>
      <c r="I1"/>
      <c r="J1"/>
      <c r="K1"/>
      <c r="L1"/>
      <c r="M1"/>
    </row>
    <row r="2" s="1" customFormat="1" ht="31" customHeight="1" spans="1:13">
      <c r="A2"/>
      <c r="B2"/>
      <c r="C2"/>
      <c r="D2"/>
      <c r="E2"/>
      <c r="F2"/>
      <c r="G2"/>
      <c r="H2"/>
      <c r="I2"/>
      <c r="J2"/>
      <c r="K2"/>
      <c r="L2"/>
      <c r="M2"/>
    </row>
    <row r="3" s="2" customFormat="1" ht="36" customHeight="1" spans="1:13">
      <c r="A3"/>
      <c r="B3"/>
      <c r="C3"/>
      <c r="D3"/>
      <c r="E3"/>
      <c r="F3"/>
      <c r="G3"/>
      <c r="H3"/>
      <c r="I3"/>
      <c r="J3"/>
      <c r="K3"/>
      <c r="L3"/>
      <c r="M3"/>
    </row>
    <row r="4" s="2" customFormat="1" ht="30" customHeight="1" spans="1:13">
      <c r="A4"/>
      <c r="B4"/>
      <c r="C4"/>
      <c r="D4"/>
      <c r="E4"/>
      <c r="F4"/>
      <c r="G4"/>
      <c r="H4"/>
      <c r="I4"/>
      <c r="J4"/>
      <c r="K4"/>
      <c r="L4"/>
      <c r="M4"/>
    </row>
    <row r="5" s="2" customFormat="1" ht="28" customHeight="1" spans="1:13">
      <c r="A5"/>
      <c r="B5"/>
      <c r="C5"/>
      <c r="D5"/>
      <c r="E5"/>
      <c r="F5"/>
      <c r="G5"/>
      <c r="H5"/>
      <c r="I5"/>
      <c r="J5"/>
      <c r="K5"/>
      <c r="L5"/>
      <c r="M5"/>
    </row>
    <row r="6" s="2" customFormat="1" ht="28" customHeight="1" spans="1:14">
      <c r="A6"/>
      <c r="B6"/>
      <c r="C6"/>
      <c r="D6"/>
      <c r="E6"/>
      <c r="F6"/>
      <c r="G6"/>
      <c r="H6"/>
      <c r="I6"/>
      <c r="J6"/>
      <c r="K6"/>
      <c r="L6"/>
      <c r="M6"/>
      <c r="N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C座503室</vt:lpstr>
      <vt:lpstr>3年测算 (一年一付) (2)</vt:lpstr>
      <vt:lpstr>水电能耗费押金</vt:lpstr>
      <vt:lpstr>C座809室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huawei</cp:lastModifiedBy>
  <dcterms:created xsi:type="dcterms:W3CDTF">2023-08-07T19:00:00Z</dcterms:created>
  <dcterms:modified xsi:type="dcterms:W3CDTF">2026-02-06T14:50:48Z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1F2E307F40CD40B5910D87E34912AA62_13</vt:lpwstr>
  </property>
  <property fmtid="{D5CDD505-2E9C-101B-9397-08002B2CF9AE}" pid="3" name="KSOProductBuildVer">
    <vt:lpwstr>2052-12.8.2.18605</vt:lpwstr>
  </property>
</Properties>
</file>
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35" windowHeight="11325" firstSheet="1"/>
  </bookViews>
  <sheets>
    <sheet name="215QRS、C座609" sheetId="1" r:id="rId1"/>
    <sheet name="Sheet1" sheetId="8" r:id="rId2"/>
    <sheet name="3年测算 (一年一付) (2)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R1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V1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A17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7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7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<sst xmlns="http://schemas.openxmlformats.org/spreadsheetml/2006/main" count="154" uniqueCount="78">
  <si>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</si>
  <si>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</si>
  <si>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</si>
  <si>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</si>
  <si>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</si>
  <si>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</si>
  <si>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</si>
  <si>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</si>
  <si>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</si>
  <si>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</si>
  <si>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</si>
  <si>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</si>
  <si>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</si>
  <si>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</si>
  <si>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</si>
  <si>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</si>
  <si>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t>215Q/R/S</t>
  </si>
  <si>
    <t>三个月一付</t>
  </si>
  <si>
    <r>
      <rPr>
        <b/>
        <sz val="12"/>
        <rFont val="宋体"/>
        <charset val="134"/>
      </rPr>
      <t>第一年</t>
    </r>
  </si>
  <si>
    <t>2026.5.26-2026.8.25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</si>
  <si>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</si>
  <si>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2026.8.26-2026.11.25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</si>
  <si>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7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</si>
  <si>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2026.11.26-2027.2.25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</si>
  <si>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</si>
  <si>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2027.2.26-2027.5.25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</si>
  <si>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</si>
  <si>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第二年</t>
  </si>
  <si>
    <t>2027.5.26-2027.8.25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</si>
  <si>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4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</si>
  <si>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2027.8.26-2027.11.25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</si>
  <si>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7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</si>
  <si>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2027.11.26-2028.2.25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</si>
  <si>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</si>
  <si>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2028.2.26-2028.5.25</t>
  </si>
  <si>
    <r>
      <rPr>
        <b/>
        <sz val="12"/>
        <rFont val="Times New Roman"/>
        <charset val="134"/>
      </rPr>
      <t>2028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26</t>
    </r>
    <r>
      <rPr>
        <b/>
        <sz val="12"/>
        <rFont val="宋体"/>
        <charset val="134"/>
      </rPr>
      <t>日之前</t>
    </r>
  </si>
  <si>
    <t>两处租金合计</t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</si>
  <si>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</si>
  <si>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</si>
  <si>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</si>
  <si>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</si>
  <si>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</si>
  <si>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</si>
  <si>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</si>
  <si>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</si>
  <si>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</si>
  <si>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609</t>
    </r>
    <r>
      <rPr>
        <b/>
        <sz val="12"/>
        <rFont val="宋体"/>
        <charset val="134"/>
      </rPr>
      <t>室</t>
    </r>
  </si>
  <si>
    <t>总计</t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</si>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</sst>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b/>
      <sz val="11"/>
      <color theme="1"/>
      <name val="宋体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9"/>
      <name val="宋体"/>
      <charset val="134"/>
    </font>
    <font>
      <sz val="14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6" applyNumberFormat="0" applyAlignment="0" applyProtection="0">
      <alignment vertical="center"/>
    </xf>
    <xf numFmtId="0" fontId="24" fillId="7" borderId="27" applyNumberFormat="0" applyAlignment="0" applyProtection="0">
      <alignment vertical="center"/>
    </xf>
    <xf numFmtId="0" fontId="25" fillId="7" borderId="26" applyNumberFormat="0" applyAlignment="0" applyProtection="0">
      <alignment vertical="center"/>
    </xf>
    <xf numFmtId="0" fontId="26" fillId="8" borderId="28" applyNumberFormat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9" fontId="8" fillId="0" borderId="9" xfId="0" applyNumberFormat="1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 wrapText="1"/>
    </xf>
    <xf numFmtId="177" fontId="8" fillId="0" borderId="18" xfId="0" applyNumberFormat="1" applyFont="1" applyFill="1" applyBorder="1" applyAlignment="1">
      <alignment horizontal="center" vertical="center"/>
    </xf>
    <xf numFmtId="176" fontId="8" fillId="0" borderId="17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3" fillId="0" borderId="9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4" fillId="0" borderId="0" xfId="0" applyFont="1" applyBorder="1">
      <alignment vertical="center"/>
    </xf>
    <xf numFmtId="14" fontId="14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  <xf numFmtId="0" fontId="1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177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tabSelected="1" zoomScale="89" zoomScaleNormal="89" workbookViewId="0">
      <selection activeCell="C3" sqref="C3:C11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20.075" style="32" customWidth="1"/>
    <col min="19" max="19" width="10.95" style="32" customWidth="1"/>
    <col min="20" max="21" width="8.725" style="32"/>
    <col min="22" max="22" width="23.5916666666667" style="32" customWidth="1"/>
    <col min="23" max="16384" width="8.725" style="32"/>
  </cols>
  <sheetData>
    <row r="1" ht="25" customHeight="1" spans="1:22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25" customHeight="1" spans="1:22">
      <c r="A2" s="38"/>
      <c r="B2" s="39"/>
      <c r="C2" s="39"/>
      <c r="D2" s="39"/>
      <c r="E2" s="39"/>
      <c r="F2" s="39"/>
      <c r="G2" s="39"/>
      <c r="H2" s="39"/>
      <c r="I2" s="40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5" customHeight="1" spans="1:22">
      <c r="A3" s="42" t="s">
        <v>16</v>
      </c>
      <c r="B3" s="42">
        <v>503.88</v>
      </c>
      <c r="C3" s="42">
        <v>1.5</v>
      </c>
      <c r="D3" s="42">
        <v>2</v>
      </c>
      <c r="E3" s="43">
        <f>(B3*C3*365/12)*D3</f>
        <v>45979.05</v>
      </c>
      <c r="F3" s="42">
        <f>SUM(O3:O10)</f>
        <v>560948</v>
      </c>
      <c r="G3" s="44" t="s">
        <v>17</v>
      </c>
      <c r="H3" s="45">
        <v>0.03</v>
      </c>
      <c r="I3" s="46" t="s">
        <v>18</v>
      </c>
      <c r="J3" s="47">
        <v>1</v>
      </c>
      <c r="K3" s="48">
        <f>C3</f>
        <v>1.5</v>
      </c>
      <c r="L3" s="49" t="s">
        <v>19</v>
      </c>
      <c r="M3" s="50">
        <f>ROUND(O3/1.09,2)</f>
        <v>63274.31</v>
      </c>
      <c r="N3" s="50">
        <f>ROUND(O3-M3,2)</f>
        <v>5694.69</v>
      </c>
      <c r="O3" s="49">
        <f>ROUND(B3*K3*365/4,0)</f>
        <v>68969</v>
      </c>
      <c r="P3" s="51" t="s">
        <v>20</v>
      </c>
    </row>
    <row r="4" ht="25" customHeight="1" spans="1:22">
      <c r="A4" s="42"/>
      <c r="B4" s="42"/>
      <c r="C4" s="42"/>
      <c r="D4" s="42"/>
      <c r="E4" s="43"/>
      <c r="F4" s="42"/>
      <c r="G4" s="42"/>
      <c r="H4" s="42"/>
      <c r="I4" s="46"/>
      <c r="J4" s="42">
        <v>2</v>
      </c>
      <c r="K4" s="52">
        <f>C3</f>
        <v>1.5</v>
      </c>
      <c r="L4" s="49" t="s">
        <v>21</v>
      </c>
      <c r="M4" s="53">
        <f>ROUND(O4/1.09,2)</f>
        <v>63274.31</v>
      </c>
      <c r="N4" s="50">
        <f>ROUND(O4-M4,2)</f>
        <v>5694.69</v>
      </c>
      <c r="O4" s="54">
        <f>ROUND(B3*K3*365/4,0)</f>
        <v>68969</v>
      </c>
      <c r="P4" s="55" t="s">
        <v>22</v>
      </c>
    </row>
    <row r="5" ht="25" customHeight="1" spans="1:22">
      <c r="A5" s="42"/>
      <c r="B5" s="42"/>
      <c r="C5" s="42"/>
      <c r="D5" s="42"/>
      <c r="E5" s="43"/>
      <c r="F5" s="42"/>
      <c r="G5" s="42"/>
      <c r="H5" s="42"/>
      <c r="I5" s="46"/>
      <c r="J5" s="42">
        <v>3</v>
      </c>
      <c r="K5" s="52">
        <f>C3</f>
        <v>1.5</v>
      </c>
      <c r="L5" s="49" t="s">
        <v>23</v>
      </c>
      <c r="M5" s="53">
        <f>ROUND(O5/1.09,2)</f>
        <v>63274.31</v>
      </c>
      <c r="N5" s="50">
        <f>ROUND(O5-M5,2)</f>
        <v>5694.69</v>
      </c>
      <c r="O5" s="55">
        <f>ROUND(B3*K5*365/4,0)</f>
        <v>68969</v>
      </c>
      <c r="P5" s="55" t="s">
        <v>24</v>
      </c>
    </row>
    <row r="6" ht="25" customHeight="1" spans="1:22">
      <c r="A6" s="42"/>
      <c r="B6" s="42"/>
      <c r="C6" s="42"/>
      <c r="D6" s="42"/>
      <c r="E6" s="43"/>
      <c r="F6" s="42"/>
      <c r="G6" s="42"/>
      <c r="H6" s="42"/>
      <c r="I6" s="56"/>
      <c r="J6" s="42">
        <v>4</v>
      </c>
      <c r="K6" s="52">
        <f>C3</f>
        <v>1.5</v>
      </c>
      <c r="L6" s="49" t="s">
        <v>25</v>
      </c>
      <c r="M6" s="53">
        <f>ROUND(O6/1.09,2)</f>
        <v>63274.31</v>
      </c>
      <c r="N6" s="50">
        <f>ROUND(O6-M6,2)</f>
        <v>5694.69</v>
      </c>
      <c r="O6" s="55">
        <f>ROUND(B3*K5*365/4,0)</f>
        <v>68969</v>
      </c>
      <c r="P6" s="55" t="s">
        <v>26</v>
      </c>
    </row>
    <row r="7" ht="25" customHeight="1" spans="1:22">
      <c r="A7" s="42"/>
      <c r="B7" s="42"/>
      <c r="C7" s="42"/>
      <c r="D7" s="42"/>
      <c r="E7" s="43"/>
      <c r="F7" s="42"/>
      <c r="G7" s="42"/>
      <c r="H7" s="42"/>
      <c r="I7" s="57" t="s">
        <v>27</v>
      </c>
      <c r="J7" s="47">
        <v>5</v>
      </c>
      <c r="K7" s="58">
        <v>1.55</v>
      </c>
      <c r="L7" s="49" t="s">
        <v>28</v>
      </c>
      <c r="M7" s="59">
        <f>ROUND(O7/1.09,2)</f>
        <v>65383.49</v>
      </c>
      <c r="N7" s="60">
        <f>ROUND(O7-M7,2)</f>
        <v>5884.51</v>
      </c>
      <c r="O7" s="61">
        <f>ROUND(B3*K7*365/4,0)</f>
        <v>71268</v>
      </c>
      <c r="P7" s="55" t="s">
        <v>29</v>
      </c>
    </row>
    <row r="8" ht="25" customHeight="1" spans="1:22">
      <c r="A8" s="42"/>
      <c r="B8" s="42"/>
      <c r="C8" s="42"/>
      <c r="D8" s="42"/>
      <c r="E8" s="43"/>
      <c r="F8" s="42"/>
      <c r="G8" s="42"/>
      <c r="H8" s="42"/>
      <c r="I8" s="62"/>
      <c r="J8" s="42">
        <v>6</v>
      </c>
      <c r="K8" s="58">
        <v>1.55</v>
      </c>
      <c r="L8" s="49" t="s">
        <v>30</v>
      </c>
      <c r="M8" s="59">
        <f>ROUND(O7/1.09,2)</f>
        <v>65383.49</v>
      </c>
      <c r="N8" s="60">
        <f>ROUND(O7-M7,2)</f>
        <v>5884.51</v>
      </c>
      <c r="O8" s="61">
        <f>ROUND(B3*K7*365/4,0)</f>
        <v>71268</v>
      </c>
      <c r="P8" s="55" t="s">
        <v>31</v>
      </c>
    </row>
    <row r="9" ht="25" customHeight="1" spans="1:22">
      <c r="A9" s="42"/>
      <c r="B9" s="42"/>
      <c r="C9" s="42"/>
      <c r="D9" s="42"/>
      <c r="E9" s="43"/>
      <c r="F9" s="42"/>
      <c r="G9" s="42"/>
      <c r="H9" s="42"/>
      <c r="I9" s="62"/>
      <c r="J9" s="42">
        <v>7</v>
      </c>
      <c r="K9" s="58">
        <v>1.55</v>
      </c>
      <c r="L9" s="49" t="s">
        <v>32</v>
      </c>
      <c r="M9" s="59">
        <f>ROUND(O7/1.09,2)</f>
        <v>65383.49</v>
      </c>
      <c r="N9" s="60">
        <f>ROUND(O7-M7,2)</f>
        <v>5884.51</v>
      </c>
      <c r="O9" s="61">
        <f>ROUND(B3*K7*365/4,0)</f>
        <v>71268</v>
      </c>
      <c r="P9" s="55" t="s">
        <v>33</v>
      </c>
    </row>
    <row r="10" ht="25" customHeight="1" spans="1:22">
      <c r="A10" s="42"/>
      <c r="B10" s="42"/>
      <c r="C10" s="42"/>
      <c r="D10" s="42"/>
      <c r="E10" s="43"/>
      <c r="F10" s="42"/>
      <c r="G10" s="42"/>
      <c r="H10" s="42"/>
      <c r="I10" s="63"/>
      <c r="J10" s="42">
        <v>8</v>
      </c>
      <c r="K10" s="58">
        <v>1.55</v>
      </c>
      <c r="L10" s="49" t="s">
        <v>34</v>
      </c>
      <c r="M10" s="59">
        <f>ROUND(O7/1.09,2)</f>
        <v>65383.49</v>
      </c>
      <c r="N10" s="60">
        <f>ROUND(O7-M7,2)</f>
        <v>5884.51</v>
      </c>
      <c r="O10" s="61">
        <f>ROUND(B3*K7*365/4,0)</f>
        <v>71268</v>
      </c>
      <c r="P10" s="55" t="s">
        <v>35</v>
      </c>
      <c r="R10" s="64" t="s">
        <v>36</v>
      </c>
      <c r="S10" s="65"/>
      <c r="T10" s="65"/>
      <c r="U10" s="65"/>
      <c r="V10" s="65"/>
    </row>
    <row r="11" ht="25" customHeight="1" spans="1:22">
      <c r="A11" s="42"/>
      <c r="B11" s="42"/>
      <c r="C11" s="42"/>
      <c r="D11" s="42"/>
      <c r="E11" s="43"/>
      <c r="F11" s="42"/>
      <c r="G11" s="42"/>
      <c r="H11" s="42"/>
      <c r="I11" s="59" t="s">
        <v>37</v>
      </c>
      <c r="J11" s="59"/>
      <c r="K11" s="59"/>
      <c r="L11" s="59"/>
      <c r="M11" s="59"/>
      <c r="N11" s="59"/>
      <c r="O11" s="61">
        <f>SUM(O3:O10)</f>
        <v>560948</v>
      </c>
      <c r="P11" s="66"/>
      <c r="Q11" s="33"/>
      <c r="R11" s="36" t="s">
        <v>10</v>
      </c>
      <c r="S11" s="37" t="s">
        <v>11</v>
      </c>
      <c r="T11" s="37"/>
      <c r="U11" s="37"/>
      <c r="V11" s="36" t="s">
        <v>12</v>
      </c>
    </row>
    <row r="12" ht="25" customHeight="1" spans="1:22">
      <c r="B12" s="33"/>
      <c r="C12" s="33"/>
      <c r="D12" s="33"/>
      <c r="H12" s="33"/>
      <c r="R12" s="40"/>
      <c r="S12" s="41" t="s">
        <v>13</v>
      </c>
      <c r="T12" s="41" t="s">
        <v>14</v>
      </c>
      <c r="U12" s="40" t="s">
        <v>15</v>
      </c>
      <c r="V12" s="40"/>
    </row>
    <row r="13" s="32" customFormat="1" ht="31" customHeight="1" spans="1:22">
      <c r="A13" s="35" t="s">
        <v>38</v>
      </c>
      <c r="B13" s="35" t="s">
        <v>39</v>
      </c>
      <c r="C13" s="35" t="s">
        <v>40</v>
      </c>
      <c r="D13" s="67" t="s">
        <v>41</v>
      </c>
      <c r="E13" s="68" t="s">
        <v>42</v>
      </c>
      <c r="F13" s="69" t="s">
        <v>43</v>
      </c>
      <c r="H13" s="70"/>
      <c r="I13" s="70"/>
      <c r="O13" s="34"/>
      <c r="P13" s="34"/>
      <c r="R13" s="49" t="s">
        <v>19</v>
      </c>
      <c r="S13" s="50">
        <f>M3+M19</f>
        <v>88267.89</v>
      </c>
      <c r="T13" s="50">
        <f>N3+N19</f>
        <v>7944.11</v>
      </c>
      <c r="U13" s="49">
        <f t="shared" ref="U13:U16" si="0">O3+O19</f>
        <v>96212</v>
      </c>
      <c r="V13" s="51" t="s">
        <v>20</v>
      </c>
    </row>
    <row r="14" s="32" customFormat="1" ht="25" customHeight="1" spans="1:22">
      <c r="A14" s="59" t="str">
        <f>A3</f>
        <v>215Q/R/S</v>
      </c>
      <c r="B14" s="42">
        <f>B3</f>
        <v>503.88</v>
      </c>
      <c r="C14" s="71" t="s">
        <v>44</v>
      </c>
      <c r="D14" s="42">
        <f>B3*10</f>
        <v>5038.8</v>
      </c>
      <c r="E14" s="72" t="s">
        <v>45</v>
      </c>
      <c r="F14" s="42">
        <f>B3*2</f>
        <v>1007.76</v>
      </c>
      <c r="O14" s="34"/>
      <c r="P14" s="34"/>
      <c r="R14" s="49" t="s">
        <v>21</v>
      </c>
      <c r="S14" s="53">
        <f t="shared" ref="S13:S17" si="1">ROUND(U14/1.09,2)</f>
        <v>88267.89</v>
      </c>
      <c r="T14" s="50">
        <f t="shared" ref="T13:T17" si="2">ROUND(U14-S14,2)</f>
        <v>7944.11</v>
      </c>
      <c r="U14" s="49">
        <f t="shared" si="0"/>
        <v>96212</v>
      </c>
      <c r="V14" s="55" t="s">
        <v>22</v>
      </c>
    </row>
    <row r="15" s="33" customFormat="1" ht="21" customHeight="1" spans="1:22">
      <c r="A15" s="73"/>
      <c r="B15" s="74"/>
      <c r="C15" s="74"/>
      <c r="D15" s="73"/>
      <c r="I15" s="75"/>
      <c r="O15" s="76"/>
      <c r="P15" s="76"/>
      <c r="R15" s="49" t="s">
        <v>23</v>
      </c>
      <c r="S15" s="53">
        <f t="shared" si="1"/>
        <v>88267.89</v>
      </c>
      <c r="T15" s="50">
        <f t="shared" si="2"/>
        <v>7944.11</v>
      </c>
      <c r="U15" s="49">
        <f t="shared" si="0"/>
        <v>96212</v>
      </c>
      <c r="V15" s="55" t="s">
        <v>24</v>
      </c>
    </row>
    <row r="16" s="33" customFormat="1" ht="21" customHeight="1" spans="1:22">
      <c r="A16" s="73"/>
      <c r="B16" s="74"/>
      <c r="C16" s="74"/>
      <c r="D16" s="73"/>
      <c r="H16" s="75"/>
      <c r="I16" s="75"/>
      <c r="O16" s="76"/>
      <c r="P16" s="76"/>
      <c r="R16" s="49" t="s">
        <v>25</v>
      </c>
      <c r="S16" s="53">
        <f t="shared" si="1"/>
        <v>88267.89</v>
      </c>
      <c r="T16" s="50">
        <f t="shared" si="2"/>
        <v>7944.11</v>
      </c>
      <c r="U16" s="49">
        <f t="shared" si="0"/>
        <v>96212</v>
      </c>
      <c r="V16" s="55" t="s">
        <v>26</v>
      </c>
    </row>
    <row r="17" ht="25" customHeight="1" spans="1:22">
      <c r="A17" s="35" t="s">
        <v>0</v>
      </c>
      <c r="B17" s="36" t="s">
        <v>1</v>
      </c>
      <c r="C17" s="36" t="s">
        <v>2</v>
      </c>
      <c r="D17" s="36" t="s">
        <v>3</v>
      </c>
      <c r="E17" s="36" t="s">
        <v>4</v>
      </c>
      <c r="F17" s="36" t="s">
        <v>5</v>
      </c>
      <c r="G17" s="36" t="s">
        <v>6</v>
      </c>
      <c r="H17" s="36" t="s">
        <v>7</v>
      </c>
      <c r="I17" s="36" t="s">
        <v>8</v>
      </c>
      <c r="J17" s="36"/>
      <c r="K17" s="36" t="s">
        <v>9</v>
      </c>
      <c r="L17" s="36" t="s">
        <v>10</v>
      </c>
      <c r="M17" s="37" t="s">
        <v>11</v>
      </c>
      <c r="N17" s="37"/>
      <c r="O17" s="37"/>
      <c r="P17" s="36" t="s">
        <v>12</v>
      </c>
      <c r="R17" s="49" t="s">
        <v>28</v>
      </c>
      <c r="S17" s="59">
        <f t="shared" si="1"/>
        <v>91070.64</v>
      </c>
      <c r="T17" s="60">
        <f t="shared" si="2"/>
        <v>8196.36</v>
      </c>
      <c r="U17" s="61">
        <f t="shared" ref="U17:U20" si="3">O7+O23</f>
        <v>99267</v>
      </c>
      <c r="V17" s="55" t="s">
        <v>29</v>
      </c>
    </row>
    <row r="18" ht="25" customHeight="1" spans="1:22">
      <c r="A18" s="38"/>
      <c r="B18" s="39"/>
      <c r="C18" s="39"/>
      <c r="D18" s="39"/>
      <c r="E18" s="39"/>
      <c r="F18" s="39"/>
      <c r="G18" s="39"/>
      <c r="H18" s="39"/>
      <c r="I18" s="40"/>
      <c r="J18" s="40"/>
      <c r="K18" s="40"/>
      <c r="L18" s="40"/>
      <c r="M18" s="41" t="s">
        <v>13</v>
      </c>
      <c r="N18" s="41" t="s">
        <v>14</v>
      </c>
      <c r="O18" s="40" t="s">
        <v>15</v>
      </c>
      <c r="P18" s="40"/>
      <c r="R18" s="49" t="s">
        <v>30</v>
      </c>
      <c r="S18" s="59">
        <f>ROUND(U17/1.09,2)</f>
        <v>91070.64</v>
      </c>
      <c r="T18" s="60">
        <f>ROUND(U17-S17,2)</f>
        <v>8196.36</v>
      </c>
      <c r="U18" s="61">
        <f t="shared" si="3"/>
        <v>99267</v>
      </c>
      <c r="V18" s="55" t="s">
        <v>31</v>
      </c>
    </row>
    <row r="19" ht="25" customHeight="1" spans="1:22">
      <c r="A19" s="42" t="s">
        <v>46</v>
      </c>
      <c r="B19" s="42">
        <v>165.86</v>
      </c>
      <c r="C19" s="42">
        <v>1.8</v>
      </c>
      <c r="D19" s="42">
        <v>2</v>
      </c>
      <c r="E19" s="43">
        <f>(B19*C19*365/12)*D19</f>
        <v>18161.67</v>
      </c>
      <c r="F19" s="42">
        <f>SUM(O19:O26)</f>
        <v>220968</v>
      </c>
      <c r="G19" s="44" t="s">
        <v>17</v>
      </c>
      <c r="H19" s="45">
        <v>0.03</v>
      </c>
      <c r="I19" s="46" t="s">
        <v>18</v>
      </c>
      <c r="J19" s="47">
        <v>1</v>
      </c>
      <c r="K19" s="48">
        <f>C19</f>
        <v>1.8</v>
      </c>
      <c r="L19" s="49" t="s">
        <v>19</v>
      </c>
      <c r="M19" s="50">
        <f t="shared" ref="M19:M23" si="4">ROUND(O19/1.09,2)</f>
        <v>24993.58</v>
      </c>
      <c r="N19" s="50">
        <f t="shared" ref="N19:N23" si="5">ROUND(O19-M19,2)</f>
        <v>2249.42</v>
      </c>
      <c r="O19" s="49">
        <f>ROUND(B19*K19*365/4,0)</f>
        <v>27243</v>
      </c>
      <c r="P19" s="51" t="s">
        <v>20</v>
      </c>
      <c r="R19" s="49" t="s">
        <v>32</v>
      </c>
      <c r="S19" s="59">
        <f>ROUND(U17/1.09,2)</f>
        <v>91070.64</v>
      </c>
      <c r="T19" s="60">
        <f>ROUND(U17-S17,2)</f>
        <v>8196.36</v>
      </c>
      <c r="U19" s="61">
        <f t="shared" si="3"/>
        <v>99267</v>
      </c>
      <c r="V19" s="55" t="s">
        <v>33</v>
      </c>
    </row>
    <row r="20" ht="25" customHeight="1" spans="1:22">
      <c r="A20" s="42"/>
      <c r="B20" s="42"/>
      <c r="C20" s="42"/>
      <c r="D20" s="42"/>
      <c r="E20" s="43"/>
      <c r="F20" s="42"/>
      <c r="G20" s="42"/>
      <c r="H20" s="42"/>
      <c r="I20" s="46"/>
      <c r="J20" s="42">
        <v>2</v>
      </c>
      <c r="K20" s="52">
        <f>C19</f>
        <v>1.8</v>
      </c>
      <c r="L20" s="49" t="s">
        <v>21</v>
      </c>
      <c r="M20" s="53">
        <f t="shared" si="4"/>
        <v>24993.58</v>
      </c>
      <c r="N20" s="50">
        <f t="shared" si="5"/>
        <v>2249.42</v>
      </c>
      <c r="O20" s="54">
        <f>ROUND(B19*K19*365/4,0)</f>
        <v>27243</v>
      </c>
      <c r="P20" s="55" t="s">
        <v>22</v>
      </c>
      <c r="R20" s="49" t="s">
        <v>34</v>
      </c>
      <c r="S20" s="59">
        <f>ROUND(U17/1.09,2)</f>
        <v>91070.64</v>
      </c>
      <c r="T20" s="60">
        <f>ROUND(U17-S17,2)</f>
        <v>8196.36</v>
      </c>
      <c r="U20" s="61">
        <f t="shared" si="3"/>
        <v>99267</v>
      </c>
      <c r="V20" s="55" t="s">
        <v>35</v>
      </c>
    </row>
    <row r="21" ht="25" customHeight="1" spans="1:22">
      <c r="A21" s="42"/>
      <c r="B21" s="42"/>
      <c r="C21" s="42"/>
      <c r="D21" s="42"/>
      <c r="E21" s="43"/>
      <c r="F21" s="42"/>
      <c r="G21" s="42"/>
      <c r="H21" s="42"/>
      <c r="I21" s="46"/>
      <c r="J21" s="42">
        <v>3</v>
      </c>
      <c r="K21" s="52">
        <f>C19</f>
        <v>1.8</v>
      </c>
      <c r="L21" s="49" t="s">
        <v>23</v>
      </c>
      <c r="M21" s="53">
        <f t="shared" si="4"/>
        <v>24993.58</v>
      </c>
      <c r="N21" s="50">
        <f t="shared" si="5"/>
        <v>2249.42</v>
      </c>
      <c r="O21" s="55">
        <f>ROUND(B19*K21*365/4,0)</f>
        <v>27243</v>
      </c>
      <c r="P21" s="55" t="s">
        <v>24</v>
      </c>
      <c r="R21" s="77" t="s">
        <v>47</v>
      </c>
      <c r="S21" s="78"/>
      <c r="T21" s="78"/>
      <c r="U21" s="79">
        <f>SUM(U13:U20)</f>
        <v>781916</v>
      </c>
      <c r="V21" s="80"/>
    </row>
    <row r="22" ht="25" customHeight="1" spans="1:22">
      <c r="A22" s="42"/>
      <c r="B22" s="42"/>
      <c r="C22" s="42"/>
      <c r="D22" s="42"/>
      <c r="E22" s="43"/>
      <c r="F22" s="42"/>
      <c r="G22" s="42"/>
      <c r="H22" s="42"/>
      <c r="I22" s="56"/>
      <c r="J22" s="42">
        <v>4</v>
      </c>
      <c r="K22" s="52">
        <f>C19</f>
        <v>1.8</v>
      </c>
      <c r="L22" s="49" t="s">
        <v>25</v>
      </c>
      <c r="M22" s="53">
        <f t="shared" si="4"/>
        <v>24993.58</v>
      </c>
      <c r="N22" s="50">
        <f t="shared" si="5"/>
        <v>2249.42</v>
      </c>
      <c r="O22" s="55">
        <f>ROUND(B19*K21*365/4,0)</f>
        <v>27243</v>
      </c>
      <c r="P22" s="55" t="s">
        <v>26</v>
      </c>
    </row>
    <row r="23" ht="25" customHeight="1" spans="1:22">
      <c r="A23" s="42"/>
      <c r="B23" s="42"/>
      <c r="C23" s="42"/>
      <c r="D23" s="42"/>
      <c r="E23" s="43"/>
      <c r="F23" s="42"/>
      <c r="G23" s="42"/>
      <c r="H23" s="42"/>
      <c r="I23" s="57" t="s">
        <v>27</v>
      </c>
      <c r="J23" s="47">
        <v>5</v>
      </c>
      <c r="K23" s="58">
        <v>1.85</v>
      </c>
      <c r="L23" s="49" t="s">
        <v>28</v>
      </c>
      <c r="M23" s="59">
        <f t="shared" si="4"/>
        <v>25687.16</v>
      </c>
      <c r="N23" s="60">
        <f t="shared" si="5"/>
        <v>2311.84</v>
      </c>
      <c r="O23" s="61">
        <f>ROUND(B19*K23*365/4,0)</f>
        <v>27999</v>
      </c>
      <c r="P23" s="55" t="s">
        <v>29</v>
      </c>
    </row>
    <row r="24" ht="25" customHeight="1" spans="1:22">
      <c r="A24" s="42"/>
      <c r="B24" s="42"/>
      <c r="C24" s="42"/>
      <c r="D24" s="42"/>
      <c r="E24" s="43"/>
      <c r="F24" s="42"/>
      <c r="G24" s="42"/>
      <c r="H24" s="42"/>
      <c r="I24" s="62"/>
      <c r="J24" s="42">
        <v>6</v>
      </c>
      <c r="K24" s="58">
        <v>1.85</v>
      </c>
      <c r="L24" s="49" t="s">
        <v>30</v>
      </c>
      <c r="M24" s="59">
        <f>ROUND(O23/1.09,2)</f>
        <v>25687.16</v>
      </c>
      <c r="N24" s="60">
        <f>ROUND(O23-M23,2)</f>
        <v>2311.84</v>
      </c>
      <c r="O24" s="61">
        <f>ROUND(B19*K23*365/4,0)</f>
        <v>27999</v>
      </c>
      <c r="P24" s="55" t="s">
        <v>31</v>
      </c>
    </row>
    <row r="25" ht="25" customHeight="1" spans="1:22">
      <c r="A25" s="42"/>
      <c r="B25" s="42"/>
      <c r="C25" s="42"/>
      <c r="D25" s="42"/>
      <c r="E25" s="43"/>
      <c r="F25" s="42"/>
      <c r="G25" s="42"/>
      <c r="H25" s="42"/>
      <c r="I25" s="62"/>
      <c r="J25" s="42">
        <v>7</v>
      </c>
      <c r="K25" s="58">
        <v>1.85</v>
      </c>
      <c r="L25" s="49" t="s">
        <v>32</v>
      </c>
      <c r="M25" s="59">
        <f>ROUND(O23/1.09,2)</f>
        <v>25687.16</v>
      </c>
      <c r="N25" s="60">
        <f>ROUND(O23-M23,2)</f>
        <v>2311.84</v>
      </c>
      <c r="O25" s="61">
        <f>ROUND(B19*K23*365/4,0)</f>
        <v>27999</v>
      </c>
      <c r="P25" s="55" t="s">
        <v>33</v>
      </c>
    </row>
    <row r="26" ht="25" customHeight="1" spans="1:22">
      <c r="A26" s="42"/>
      <c r="B26" s="42"/>
      <c r="C26" s="42"/>
      <c r="D26" s="42"/>
      <c r="E26" s="43"/>
      <c r="F26" s="42"/>
      <c r="G26" s="42"/>
      <c r="H26" s="42"/>
      <c r="I26" s="63"/>
      <c r="J26" s="42">
        <v>8</v>
      </c>
      <c r="K26" s="58">
        <v>1.85</v>
      </c>
      <c r="L26" s="49" t="s">
        <v>34</v>
      </c>
      <c r="M26" s="59">
        <f>ROUND(O23/1.09,2)</f>
        <v>25687.16</v>
      </c>
      <c r="N26" s="60">
        <f>ROUND(O23-M23,2)</f>
        <v>2311.84</v>
      </c>
      <c r="O26" s="61">
        <f>ROUND(B19*K23*365/4,0)</f>
        <v>27999</v>
      </c>
      <c r="P26" s="55" t="s">
        <v>35</v>
      </c>
    </row>
    <row r="27" ht="25" customHeight="1" spans="1:22">
      <c r="A27" s="42"/>
      <c r="B27" s="42"/>
      <c r="C27" s="42"/>
      <c r="D27" s="42"/>
      <c r="E27" s="43"/>
      <c r="F27" s="42"/>
      <c r="G27" s="42"/>
      <c r="H27" s="42"/>
      <c r="I27" s="59" t="s">
        <v>37</v>
      </c>
      <c r="J27" s="59"/>
      <c r="K27" s="59"/>
      <c r="L27" s="59"/>
      <c r="M27" s="59"/>
      <c r="N27" s="59"/>
      <c r="O27" s="61">
        <f>SUM(O19:O26)</f>
        <v>220968</v>
      </c>
      <c r="P27" s="66"/>
    </row>
    <row r="28" ht="25" customHeight="1" spans="1:22">
      <c r="B28" s="33"/>
      <c r="C28" s="33"/>
      <c r="D28" s="33"/>
      <c r="H28" s="33"/>
      <c r="P28" s="76"/>
    </row>
    <row r="29" ht="54" customHeight="1" spans="1:22">
      <c r="A29" s="35" t="s">
        <v>38</v>
      </c>
      <c r="B29" s="35" t="s">
        <v>39</v>
      </c>
      <c r="C29" s="35" t="s">
        <v>40</v>
      </c>
      <c r="D29" s="67" t="s">
        <v>41</v>
      </c>
      <c r="E29" s="68" t="s">
        <v>42</v>
      </c>
      <c r="F29" s="69" t="s">
        <v>43</v>
      </c>
      <c r="H29" s="70"/>
      <c r="I29" s="70"/>
      <c r="P29" s="76"/>
    </row>
    <row r="30" ht="25" customHeight="1" spans="1:22">
      <c r="A30" s="59" t="str">
        <f>A19</f>
        <v>C座609室</v>
      </c>
      <c r="B30" s="42">
        <f>B19</f>
        <v>165.86</v>
      </c>
      <c r="C30" s="71" t="s">
        <v>44</v>
      </c>
      <c r="D30" s="42">
        <f>B19*10</f>
        <v>1658.6</v>
      </c>
      <c r="E30" s="72" t="s">
        <v>45</v>
      </c>
      <c r="F30" s="42">
        <f>B19*2</f>
        <v>331.72</v>
      </c>
      <c r="P30" s="76"/>
    </row>
    <row r="31" spans="1:22">
      <c r="I31" s="33"/>
      <c r="J31" s="33"/>
      <c r="K31" s="33"/>
      <c r="L31" s="33"/>
      <c r="M31" s="33"/>
      <c r="N31" s="33"/>
      <c r="O31" s="76"/>
      <c r="P31" s="76"/>
    </row>
    <row r="32" spans="1:22">
      <c r="I32" s="33"/>
      <c r="J32" s="33"/>
      <c r="K32" s="33"/>
      <c r="L32" s="33"/>
      <c r="M32" s="33"/>
      <c r="N32" s="33"/>
      <c r="O32" s="76"/>
      <c r="P32" s="76"/>
    </row>
    <row r="33" spans="1:16">
      <c r="I33" s="33"/>
      <c r="J33" s="33"/>
      <c r="K33" s="33"/>
      <c r="L33" s="33"/>
      <c r="M33" s="33"/>
      <c r="N33" s="33"/>
      <c r="O33" s="76"/>
      <c r="P33" s="76"/>
    </row>
    <row r="34" spans="1:16">
      <c r="I34" s="33"/>
      <c r="J34" s="33"/>
      <c r="K34" s="33"/>
      <c r="L34" s="33"/>
      <c r="M34" s="33"/>
      <c r="N34" s="33"/>
      <c r="O34" s="76"/>
      <c r="P34" s="76"/>
    </row>
    <row r="35" spans="1:16">
      <c r="A35" s="32" t="s">
        <v>48</v>
      </c>
      <c r="B35" s="32" t="s">
        <v>49</v>
      </c>
      <c r="I35" s="33"/>
      <c r="J35" s="33"/>
      <c r="K35" s="33"/>
      <c r="L35" s="33"/>
      <c r="M35" s="33"/>
      <c r="N35" s="33"/>
      <c r="O35" s="76"/>
      <c r="P35" s="76"/>
    </row>
    <row r="36" spans="1:16">
      <c r="B36" s="32" t="s">
        <v>50</v>
      </c>
      <c r="F36" s="81"/>
      <c r="G36" s="32"/>
      <c r="I36" s="33"/>
      <c r="J36" s="33"/>
      <c r="K36" s="33"/>
      <c r="L36" s="33"/>
      <c r="M36" s="33"/>
      <c r="N36" s="33"/>
      <c r="O36" s="76"/>
      <c r="P36" s="76"/>
    </row>
    <row r="37" spans="1:16">
      <c r="I37" s="33"/>
      <c r="J37" s="33"/>
      <c r="K37" s="33"/>
      <c r="L37" s="33"/>
      <c r="M37" s="33"/>
      <c r="N37" s="33"/>
      <c r="O37" s="76"/>
      <c r="P37" s="76"/>
    </row>
  </sheetData>
  <mergeCells count="55">
    <mergeCell ref="M1:O1"/>
    <mergeCell ref="R10:V10"/>
    <mergeCell ref="I11:N11"/>
    <mergeCell ref="S11:U11"/>
    <mergeCell ref="M17:O17"/>
    <mergeCell ref="R21:T21"/>
    <mergeCell ref="I27:N27"/>
    <mergeCell ref="A1:A2"/>
    <mergeCell ref="A3:A11"/>
    <mergeCell ref="A17:A18"/>
    <mergeCell ref="A19:A27"/>
    <mergeCell ref="B1:B2"/>
    <mergeCell ref="B3:B11"/>
    <mergeCell ref="B17:B18"/>
    <mergeCell ref="B19:B27"/>
    <mergeCell ref="C1:C2"/>
    <mergeCell ref="C3:C11"/>
    <mergeCell ref="C17:C18"/>
    <mergeCell ref="C19:C27"/>
    <mergeCell ref="D1:D2"/>
    <mergeCell ref="D3:D11"/>
    <mergeCell ref="D17:D18"/>
    <mergeCell ref="D19:D27"/>
    <mergeCell ref="E1:E2"/>
    <mergeCell ref="E3:E11"/>
    <mergeCell ref="E17:E18"/>
    <mergeCell ref="E19:E27"/>
    <mergeCell ref="F1:F2"/>
    <mergeCell ref="F3:F11"/>
    <mergeCell ref="F17:F18"/>
    <mergeCell ref="F19:F27"/>
    <mergeCell ref="G1:G2"/>
    <mergeCell ref="G3:G11"/>
    <mergeCell ref="G17:G18"/>
    <mergeCell ref="G19:G27"/>
    <mergeCell ref="H1:H2"/>
    <mergeCell ref="H3:H11"/>
    <mergeCell ref="H17:H18"/>
    <mergeCell ref="H19:H27"/>
    <mergeCell ref="I1:I2"/>
    <mergeCell ref="I3:I6"/>
    <mergeCell ref="I7:I10"/>
    <mergeCell ref="I17:I18"/>
    <mergeCell ref="I19:I22"/>
    <mergeCell ref="I23:I26"/>
    <mergeCell ref="J1:J2"/>
    <mergeCell ref="J17:J18"/>
    <mergeCell ref="K1:K2"/>
    <mergeCell ref="K17:K18"/>
    <mergeCell ref="L1:L2"/>
    <mergeCell ref="L17:L18"/>
    <mergeCell ref="P1:P2"/>
    <mergeCell ref="P17:P18"/>
    <mergeCell ref="R11:R12"/>
    <mergeCell ref="V11:V1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51</v>
      </c>
      <c r="B1" s="3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5" t="s">
        <v>64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62</v>
      </c>
      <c r="M2" s="8" t="s">
        <v>63</v>
      </c>
      <c r="N2" s="9"/>
    </row>
    <row r="3" ht="22" customHeight="1" spans="1:14">
      <c r="A3" s="10" t="s">
        <v>65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66</v>
      </c>
      <c r="H3" s="11">
        <v>0.03</v>
      </c>
      <c r="I3" s="10" t="s">
        <v>67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27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68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69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66</v>
      </c>
      <c r="H6" s="11">
        <v>0.03</v>
      </c>
      <c r="I6" s="10" t="s">
        <v>67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27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68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70</v>
      </c>
      <c r="B9" s="17"/>
      <c r="C9" s="17"/>
      <c r="D9" s="17"/>
      <c r="E9" s="18"/>
      <c r="F9" s="17"/>
      <c r="G9" s="17"/>
      <c r="H9" s="17"/>
      <c r="I9" s="10" t="s">
        <v>67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27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68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71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72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73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74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75</v>
      </c>
      <c r="B20" t="s">
        <v>76</v>
      </c>
      <c r="H20" s="26"/>
    </row>
    <row r="21" spans="1:9">
      <c r="B21" t="s">
        <v>77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215QRS、C座609</vt:lpstr>
      <vt:lpstr>Sheet1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2023-08-08T03:00:00Z</dcterms:created>
  <dcterms:modified xsi:type="dcterms:W3CDTF">2026-05-19T06:48:22Z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CE83E2326C734636A9ECE7F3F9114519_13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
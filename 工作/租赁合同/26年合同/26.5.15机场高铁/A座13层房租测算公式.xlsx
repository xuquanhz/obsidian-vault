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/>
  </bookViews>
  <sheets>
    <sheet name="A座10层房租" sheetId="1" r:id="rId1"/>
    <sheet name="3年测算 (一年一付) (2)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<sst xmlns="http://schemas.openxmlformats.org/spreadsheetml/2006/main" count="97" uniqueCount="63">
  <si>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</si>
  <si>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</si>
  <si>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</si>
  <si>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</si>
  <si>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</si>
  <si>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</si>
  <si>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</si>
  <si>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</si>
  <si>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</si>
  <si>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</si>
  <si>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费用起止时间</t>
  </si>
  <si>
    <t>租金</t>
  </si>
  <si>
    <t>应付款日期</t>
  </si>
  <si>
    <t>不含税</t>
  </si>
  <si>
    <t>税金</t>
  </si>
  <si>
    <t>金额（元）</t>
  </si>
  <si>
    <t>A座13层</t>
  </si>
  <si>
    <t>半年一付</t>
  </si>
  <si>
    <t>第一年</t>
  </si>
  <si>
    <t>2026.5.15-2026.11.14</t>
  </si>
  <si>
    <t>本合同签约之日起10天内</t>
  </si>
  <si>
    <t>2026.11.15-2027.5.14</t>
  </si>
  <si>
    <t>2026年10月15日之前</t>
  </si>
  <si>
    <t>第二年</t>
  </si>
  <si>
    <t>2027.5.15-2027.11.14</t>
  </si>
  <si>
    <t>2027年4月15日之前</t>
  </si>
  <si>
    <t>2027.11.15-2028.5.14</t>
  </si>
  <si>
    <t>2027年10月15日之前</t>
  </si>
  <si>
    <t>第三年</t>
  </si>
  <si>
    <t>2028.5.15-2028.11.14</t>
  </si>
  <si>
    <t>2028年4月15日之前</t>
  </si>
  <si>
    <t>2028.11.15-2029.5.14</t>
  </si>
  <si>
    <t>2028年10月15日之前</t>
  </si>
  <si>
    <t>第四年</t>
  </si>
  <si>
    <t>2029.5.15-2029.11.14</t>
  </si>
  <si>
    <t>2029年4月15日之前</t>
  </si>
  <si>
    <t>2029.11.15-2030.5.14</t>
  </si>
  <si>
    <t>2029年10月15日之前</t>
  </si>
  <si>
    <t>第五年</t>
  </si>
  <si>
    <t>2030.5.15-2030.11.14</t>
  </si>
  <si>
    <t>2030年4月15日之前</t>
  </si>
  <si>
    <t>2030.11.15-2031.5.14</t>
  </si>
  <si>
    <t>2030年10月15日之前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</si>
  <si>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</si>
  <si>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</si>
  <si>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</si>
  <si>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</si>
  <si>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</si>
  <si>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</si>
  <si>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</si>
  <si>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</si>
  <si>
    <t>企业名称</t>
  </si>
  <si>
    <t>面积（平）</t>
  </si>
  <si>
    <t>水电押金标准
（/平）</t>
  </si>
  <si>
    <t>水电费押金</t>
  </si>
  <si>
    <t>公共能耗费押金标准
（/平）</t>
  </si>
  <si>
    <t>公共能耗费押金</t>
  </si>
  <si>
    <t>10元/㎡</t>
  </si>
  <si>
    <t>2元/㎡</t>
  </si>
  <si>
    <t>合计全年</t>
  </si>
  <si>
    <t>A座3层305,杭州交投科创中心B座404</t>
  </si>
  <si>
    <t>一年一付</t>
  </si>
  <si>
    <t>A座4层1-3、1-4、1-5、1-6、1-7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</si>
</sst>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8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sz val="14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/>
      <right/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FF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6" applyNumberFormat="0" applyFill="0" applyAlignment="0" applyProtection="0">
      <alignment vertical="center"/>
    </xf>
    <xf numFmtId="0" fontId="12" fillId="0" borderId="36" applyNumberFormat="0" applyFill="0" applyAlignment="0" applyProtection="0">
      <alignment vertical="center"/>
    </xf>
    <xf numFmtId="0" fontId="13" fillId="0" borderId="3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38" applyNumberFormat="0" applyAlignment="0" applyProtection="0">
      <alignment vertical="center"/>
    </xf>
    <xf numFmtId="0" fontId="15" fillId="7" borderId="39" applyNumberFormat="0" applyAlignment="0" applyProtection="0">
      <alignment vertical="center"/>
    </xf>
    <xf numFmtId="0" fontId="16" fillId="7" borderId="38" applyNumberFormat="0" applyAlignment="0" applyProtection="0">
      <alignment vertical="center"/>
    </xf>
    <xf numFmtId="0" fontId="17" fillId="8" borderId="40" applyNumberFormat="0" applyAlignment="0" applyProtection="0">
      <alignment vertical="center"/>
    </xf>
    <xf numFmtId="0" fontId="18" fillId="0" borderId="41" applyNumberFormat="0" applyFill="0" applyAlignment="0" applyProtection="0">
      <alignment vertical="center"/>
    </xf>
    <xf numFmtId="0" fontId="19" fillId="0" borderId="4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176" fontId="5" fillId="3" borderId="3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176" fontId="1" fillId="2" borderId="15" xfId="0" applyNumberFormat="1" applyFont="1" applyFill="1" applyBorder="1" applyAlignment="1">
      <alignment horizontal="center" vertical="center" wrapText="1"/>
    </xf>
    <xf numFmtId="177" fontId="2" fillId="0" borderId="9" xfId="0" applyNumberFormat="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176" fontId="2" fillId="0" borderId="17" xfId="0" applyNumberFormat="1" applyFont="1" applyFill="1" applyBorder="1" applyAlignment="1">
      <alignment horizontal="center" vertical="center" wrapText="1"/>
    </xf>
    <xf numFmtId="176" fontId="3" fillId="0" borderId="17" xfId="0" applyNumberFormat="1" applyFont="1" applyFill="1" applyBorder="1" applyAlignment="1">
      <alignment horizontal="center" vertical="center"/>
    </xf>
    <xf numFmtId="177" fontId="3" fillId="0" borderId="18" xfId="0" applyNumberFormat="1" applyFont="1" applyFill="1" applyBorder="1" applyAlignment="1">
      <alignment horizontal="center" vertical="center"/>
    </xf>
    <xf numFmtId="177" fontId="3" fillId="0" borderId="17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/>
    </xf>
    <xf numFmtId="177" fontId="3" fillId="0" borderId="20" xfId="0" applyNumberFormat="1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77" fontId="3" fillId="0" borderId="25" xfId="0" applyNumberFormat="1" applyFont="1" applyFill="1" applyBorder="1" applyAlignment="1">
      <alignment horizontal="center" vertical="center"/>
    </xf>
    <xf numFmtId="176" fontId="4" fillId="0" borderId="26" xfId="0" applyNumberFormat="1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14" fontId="4" fillId="0" borderId="28" xfId="0" applyNumberFormat="1" applyFont="1" applyBorder="1">
      <alignment vertical="center"/>
    </xf>
    <xf numFmtId="14" fontId="4" fillId="0" borderId="29" xfId="0" applyNumberFormat="1" applyFont="1" applyBorder="1">
      <alignment vertical="center"/>
    </xf>
    <xf numFmtId="0" fontId="4" fillId="0" borderId="30" xfId="0" applyFont="1" applyBorder="1">
      <alignment vertical="center"/>
    </xf>
    <xf numFmtId="0" fontId="4" fillId="0" borderId="31" xfId="0" applyFont="1" applyBorder="1">
      <alignment vertical="center"/>
    </xf>
    <xf numFmtId="14" fontId="4" fillId="0" borderId="32" xfId="0" applyNumberFormat="1" applyFont="1" applyBorder="1">
      <alignment vertical="center"/>
    </xf>
    <xf numFmtId="0" fontId="4" fillId="0" borderId="33" xfId="0" applyFont="1" applyBorder="1">
      <alignment vertical="center"/>
    </xf>
    <xf numFmtId="14" fontId="4" fillId="0" borderId="34" xfId="0" applyNumberFormat="1" applyFont="1" applyBorder="1">
      <alignment vertical="center"/>
    </xf>
    <xf numFmtId="0" fontId="0" fillId="4" borderId="9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/>
    </xf>
    <xf numFmtId="176" fontId="0" fillId="0" borderId="9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tabSelected="1" zoomScale="89" zoomScaleNormal="89" workbookViewId="0">
      <selection activeCell="K26" sqref="K26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6916666666667" customWidth="1"/>
    <col min="11" max="11" width="12.0666666666667" customWidth="1"/>
    <col min="12" max="12" width="31.6666666666667" customWidth="1"/>
    <col min="13" max="14" width="16.1333333333333" customWidth="1"/>
    <col min="15" max="15" width="16.1333333333333" style="1" customWidth="1"/>
    <col min="16" max="16" width="24.2916666666667" style="1" customWidth="1"/>
    <col min="18" max="18" width="12.8166666666667"/>
  </cols>
  <sheetData>
    <row r="1" customFormat="1" ht="31" customHeight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/>
      <c r="K1" s="4" t="s">
        <v>9</v>
      </c>
      <c r="L1" s="4" t="s">
        <v>10</v>
      </c>
      <c r="M1" s="32" t="s">
        <v>11</v>
      </c>
      <c r="N1" s="32"/>
      <c r="O1" s="32"/>
      <c r="P1" s="4" t="s">
        <v>12</v>
      </c>
    </row>
    <row r="2" customFormat="1" ht="31" customHeight="1" spans="1:17">
      <c r="A2" s="7"/>
      <c r="B2" s="8"/>
      <c r="C2" s="8"/>
      <c r="D2" s="8"/>
      <c r="E2" s="8"/>
      <c r="F2" s="8"/>
      <c r="G2" s="8"/>
      <c r="H2" s="8"/>
      <c r="I2" s="33"/>
      <c r="J2" s="33"/>
      <c r="K2" s="33"/>
      <c r="L2" s="33"/>
      <c r="M2" s="34" t="s">
        <v>13</v>
      </c>
      <c r="N2" s="34" t="s">
        <v>14</v>
      </c>
      <c r="O2" s="33" t="s">
        <v>15</v>
      </c>
      <c r="P2" s="33"/>
    </row>
    <row r="3" ht="24" customHeight="1" spans="1:17">
      <c r="A3" s="10" t="s">
        <v>16</v>
      </c>
      <c r="B3" s="10">
        <v>1384.97</v>
      </c>
      <c r="C3" s="10">
        <v>2.7</v>
      </c>
      <c r="D3" s="10">
        <v>2</v>
      </c>
      <c r="E3" s="35">
        <f>B3*C3*365/12*2</f>
        <v>227481.3225</v>
      </c>
      <c r="F3" s="10">
        <f>O13</f>
        <v>7244016</v>
      </c>
      <c r="G3" s="10" t="s">
        <v>17</v>
      </c>
      <c r="H3" s="10">
        <v>0.03</v>
      </c>
      <c r="I3" s="36" t="s">
        <v>18</v>
      </c>
      <c r="J3" s="37">
        <v>1</v>
      </c>
      <c r="K3" s="38">
        <f>C3</f>
        <v>2.7</v>
      </c>
      <c r="L3" s="38" t="s">
        <v>19</v>
      </c>
      <c r="M3" s="39">
        <f t="shared" ref="M3:M8" si="0">ROUND(O3/1.09,2)</f>
        <v>626095.41</v>
      </c>
      <c r="N3" s="39">
        <f t="shared" ref="N3:N8" si="1">ROUND(O3-M3,2)</f>
        <v>56348.59</v>
      </c>
      <c r="O3" s="40">
        <f>ROUND(B3*K3*365/2,0)</f>
        <v>682444</v>
      </c>
      <c r="P3" s="41" t="s">
        <v>20</v>
      </c>
    </row>
    <row r="4" ht="24" customHeight="1" spans="1:17">
      <c r="A4" s="10"/>
      <c r="B4" s="10"/>
      <c r="C4" s="10"/>
      <c r="D4" s="10"/>
      <c r="E4" s="35"/>
      <c r="F4" s="10"/>
      <c r="G4" s="10"/>
      <c r="H4" s="10"/>
      <c r="I4" s="42"/>
      <c r="J4" s="10">
        <v>2</v>
      </c>
      <c r="K4" s="12">
        <f>C3</f>
        <v>2.7</v>
      </c>
      <c r="L4" s="38" t="s">
        <v>21</v>
      </c>
      <c r="M4" s="43">
        <f t="shared" si="0"/>
        <v>626095.41</v>
      </c>
      <c r="N4" s="39">
        <f t="shared" si="1"/>
        <v>56348.59</v>
      </c>
      <c r="O4" s="44">
        <f>ROUND(B3*K3*365/2,0)</f>
        <v>682444</v>
      </c>
      <c r="P4" s="13" t="s">
        <v>22</v>
      </c>
    </row>
    <row r="5" ht="24" customHeight="1" spans="1:17">
      <c r="A5" s="10"/>
      <c r="B5" s="10"/>
      <c r="C5" s="10"/>
      <c r="D5" s="10"/>
      <c r="E5" s="35"/>
      <c r="F5" s="10"/>
      <c r="G5" s="10"/>
      <c r="H5" s="10"/>
      <c r="I5" s="45" t="s">
        <v>23</v>
      </c>
      <c r="J5" s="10">
        <v>3</v>
      </c>
      <c r="K5" s="12">
        <v>2.78</v>
      </c>
      <c r="L5" s="38" t="s">
        <v>24</v>
      </c>
      <c r="M5" s="43">
        <f t="shared" si="0"/>
        <v>644646.79</v>
      </c>
      <c r="N5" s="39">
        <f t="shared" si="1"/>
        <v>58018.21</v>
      </c>
      <c r="O5" s="13">
        <f>ROUND(B3*K5*365/2,0)</f>
        <v>702665</v>
      </c>
      <c r="P5" s="13" t="s">
        <v>25</v>
      </c>
    </row>
    <row r="6" ht="24" customHeight="1" spans="1:17">
      <c r="A6" s="10"/>
      <c r="B6" s="10"/>
      <c r="C6" s="10"/>
      <c r="D6" s="10"/>
      <c r="E6" s="35"/>
      <c r="F6" s="10"/>
      <c r="G6" s="10"/>
      <c r="H6" s="10"/>
      <c r="I6" s="42"/>
      <c r="J6" s="10">
        <v>4</v>
      </c>
      <c r="K6" s="12">
        <v>2.78</v>
      </c>
      <c r="L6" s="38" t="s">
        <v>26</v>
      </c>
      <c r="M6" s="43">
        <f t="shared" ref="M6:M10" si="2">ROUND(O6/1.09,2)</f>
        <v>644646.79</v>
      </c>
      <c r="N6" s="39">
        <f t="shared" ref="N6:N10" si="3">ROUND(O6-M6,2)</f>
        <v>58018.21</v>
      </c>
      <c r="O6" s="13">
        <f>ROUND(B3*K5*365/2,0)</f>
        <v>702665</v>
      </c>
      <c r="P6" s="13" t="s">
        <v>27</v>
      </c>
    </row>
    <row r="7" ht="28" customHeight="1" spans="1:17">
      <c r="A7" s="10"/>
      <c r="B7" s="10"/>
      <c r="C7" s="10"/>
      <c r="D7" s="10"/>
      <c r="E7" s="35"/>
      <c r="F7" s="10"/>
      <c r="G7" s="10"/>
      <c r="H7" s="10"/>
      <c r="I7" s="21" t="s">
        <v>28</v>
      </c>
      <c r="J7" s="10">
        <v>5</v>
      </c>
      <c r="K7" s="46">
        <v>2.86</v>
      </c>
      <c r="L7" s="21" t="s">
        <v>29</v>
      </c>
      <c r="M7" s="21">
        <f t="shared" ref="M7:M12" si="4">ROUND(O7/1.09,2)</f>
        <v>663197.25</v>
      </c>
      <c r="N7" s="21">
        <f t="shared" ref="N7:N12" si="5">ROUND(O7-M7,2)</f>
        <v>59687.75</v>
      </c>
      <c r="O7" s="13">
        <f>ROUND(B3*K7*365/2,0)</f>
        <v>722885</v>
      </c>
      <c r="P7" s="13" t="s">
        <v>30</v>
      </c>
    </row>
    <row r="8" ht="28" customHeight="1" spans="1:17">
      <c r="A8" s="10"/>
      <c r="B8" s="10"/>
      <c r="C8" s="10"/>
      <c r="D8" s="10"/>
      <c r="E8" s="35"/>
      <c r="F8" s="10"/>
      <c r="G8" s="10"/>
      <c r="H8" s="10"/>
      <c r="I8" s="21"/>
      <c r="J8" s="10">
        <v>6</v>
      </c>
      <c r="K8" s="46">
        <v>2.86</v>
      </c>
      <c r="L8" s="21" t="s">
        <v>31</v>
      </c>
      <c r="M8" s="21">
        <f t="shared" si="0"/>
        <v>663197.25</v>
      </c>
      <c r="N8" s="21">
        <f t="shared" si="1"/>
        <v>59687.75</v>
      </c>
      <c r="O8" s="13">
        <f>ROUND(B3*K8*365/2,0)</f>
        <v>722885</v>
      </c>
      <c r="P8" s="13" t="s">
        <v>32</v>
      </c>
    </row>
    <row r="9" ht="28" customHeight="1" spans="1:17">
      <c r="A9" s="10"/>
      <c r="B9" s="10"/>
      <c r="C9" s="10"/>
      <c r="D9" s="10"/>
      <c r="E9" s="35"/>
      <c r="F9" s="10"/>
      <c r="G9" s="10"/>
      <c r="H9" s="10"/>
      <c r="I9" s="21" t="s">
        <v>33</v>
      </c>
      <c r="J9" s="10">
        <v>7</v>
      </c>
      <c r="K9" s="46">
        <v>2.95</v>
      </c>
      <c r="L9" s="21" t="s">
        <v>34</v>
      </c>
      <c r="M9" s="21">
        <f t="shared" si="2"/>
        <v>684066.97</v>
      </c>
      <c r="N9" s="21">
        <f t="shared" si="3"/>
        <v>61566.03</v>
      </c>
      <c r="O9" s="13">
        <f>ROUND(B3*K9*365/2,0)</f>
        <v>745633</v>
      </c>
      <c r="P9" s="13" t="s">
        <v>35</v>
      </c>
    </row>
    <row r="10" ht="28" customHeight="1" spans="1:17">
      <c r="A10" s="10"/>
      <c r="B10" s="10"/>
      <c r="C10" s="10"/>
      <c r="D10" s="10"/>
      <c r="E10" s="35"/>
      <c r="F10" s="10"/>
      <c r="G10" s="10"/>
      <c r="H10" s="10"/>
      <c r="I10" s="21"/>
      <c r="J10" s="10">
        <v>8</v>
      </c>
      <c r="K10" s="46">
        <v>2.95</v>
      </c>
      <c r="L10" s="21" t="s">
        <v>36</v>
      </c>
      <c r="M10" s="21">
        <f t="shared" si="2"/>
        <v>684066.97</v>
      </c>
      <c r="N10" s="21">
        <f t="shared" si="3"/>
        <v>61566.03</v>
      </c>
      <c r="O10" s="13">
        <f>ROUND(B3*K10*365/2,0)</f>
        <v>745633</v>
      </c>
      <c r="P10" s="13" t="s">
        <v>37</v>
      </c>
    </row>
    <row r="11" ht="28" customHeight="1" spans="1:17">
      <c r="A11" s="10"/>
      <c r="B11" s="10"/>
      <c r="C11" s="10"/>
      <c r="D11" s="10"/>
      <c r="E11" s="35"/>
      <c r="F11" s="10"/>
      <c r="G11" s="10"/>
      <c r="H11" s="10"/>
      <c r="I11" s="21" t="s">
        <v>38</v>
      </c>
      <c r="J11" s="10">
        <v>9</v>
      </c>
      <c r="K11" s="46">
        <v>3.04</v>
      </c>
      <c r="L11" s="21" t="s">
        <v>39</v>
      </c>
      <c r="M11" s="21">
        <f t="shared" si="4"/>
        <v>704936.7</v>
      </c>
      <c r="N11" s="21">
        <f t="shared" si="5"/>
        <v>63444.3</v>
      </c>
      <c r="O11" s="13">
        <f>ROUND(B3*K11*365/2,0)</f>
        <v>768381</v>
      </c>
      <c r="P11" s="13" t="s">
        <v>40</v>
      </c>
    </row>
    <row r="12" ht="28" customHeight="1" spans="1:17">
      <c r="A12" s="10"/>
      <c r="B12" s="10"/>
      <c r="C12" s="10"/>
      <c r="D12" s="10"/>
      <c r="E12" s="35"/>
      <c r="F12" s="10"/>
      <c r="G12" s="10"/>
      <c r="H12" s="10"/>
      <c r="I12" s="21"/>
      <c r="J12" s="10">
        <v>10</v>
      </c>
      <c r="K12" s="46">
        <v>3.04</v>
      </c>
      <c r="L12" s="21" t="s">
        <v>41</v>
      </c>
      <c r="M12" s="21">
        <f t="shared" si="4"/>
        <v>704936.7</v>
      </c>
      <c r="N12" s="21">
        <f t="shared" si="5"/>
        <v>63444.3</v>
      </c>
      <c r="O12" s="47">
        <f>ROUND(B3*K12*365/2,0)</f>
        <v>768381</v>
      </c>
      <c r="P12" s="13" t="s">
        <v>42</v>
      </c>
    </row>
    <row r="13" ht="28" customHeight="1" spans="1:17">
      <c r="A13" s="10"/>
      <c r="B13" s="10"/>
      <c r="C13" s="10"/>
      <c r="D13" s="10"/>
      <c r="E13" s="35"/>
      <c r="F13" s="10"/>
      <c r="G13" s="10"/>
      <c r="H13" s="10"/>
      <c r="I13" s="48" t="s">
        <v>43</v>
      </c>
      <c r="J13" s="49"/>
      <c r="K13" s="49"/>
      <c r="L13" s="50"/>
      <c r="M13" s="50"/>
      <c r="N13" s="51"/>
      <c r="O13" s="52">
        <f>SUM(O3:O12)</f>
        <v>7244016</v>
      </c>
      <c r="P13" s="53"/>
      <c r="Q13" s="19"/>
    </row>
    <row r="14" spans="1:17">
      <c r="B14" s="19"/>
      <c r="C14" s="19"/>
      <c r="D14" s="19"/>
      <c r="H14" s="19"/>
    </row>
    <row r="15" ht="21" hidden="1" customHeight="1" spans="1:17">
      <c r="A15" s="54" t="s">
        <v>44</v>
      </c>
      <c r="B15" s="55"/>
      <c r="C15" s="54"/>
      <c r="D15" s="54"/>
    </row>
    <row r="16" ht="21" hidden="1" customHeight="1" spans="1:17">
      <c r="A16" s="56" t="s">
        <v>45</v>
      </c>
      <c r="B16" s="57"/>
      <c r="C16" s="58"/>
      <c r="D16" s="59">
        <v>365</v>
      </c>
    </row>
    <row r="17" ht="21" hidden="1" customHeight="1" spans="1:16">
      <c r="A17" s="60" t="s">
        <v>46</v>
      </c>
      <c r="B17" s="57"/>
      <c r="C17" s="61"/>
      <c r="D17" s="62">
        <v>365</v>
      </c>
      <c r="I17" s="26"/>
    </row>
    <row r="18" ht="21" hidden="1" customHeight="1" spans="1:16">
      <c r="A18" s="27" t="s">
        <v>47</v>
      </c>
      <c r="B18" s="28"/>
      <c r="C18" s="63"/>
      <c r="D18" s="30">
        <v>365</v>
      </c>
      <c r="H18" s="26"/>
      <c r="I18" s="26"/>
    </row>
    <row r="19" spans="1:16">
      <c r="B19" s="19"/>
      <c r="C19" s="19"/>
      <c r="H19" s="26"/>
      <c r="I19" s="26"/>
    </row>
    <row r="20" spans="1:16">
      <c r="I20" s="19"/>
      <c r="J20" s="19"/>
      <c r="K20" s="19"/>
      <c r="L20" s="19"/>
      <c r="M20" s="19"/>
      <c r="N20" s="19"/>
      <c r="O20" s="23"/>
      <c r="P20" s="23"/>
    </row>
    <row r="21" spans="1:16">
      <c r="A21" t="s">
        <v>48</v>
      </c>
      <c r="B21" t="s">
        <v>49</v>
      </c>
      <c r="H21" s="26"/>
      <c r="I21" s="19"/>
      <c r="J21" s="19"/>
      <c r="K21" s="19"/>
      <c r="L21" s="19"/>
      <c r="M21" s="19"/>
      <c r="N21" s="19"/>
      <c r="O21" s="23"/>
      <c r="P21" s="23"/>
    </row>
    <row r="22" spans="1:16">
      <c r="B22" t="s">
        <v>50</v>
      </c>
      <c r="I22" s="19"/>
      <c r="J22" s="19"/>
      <c r="K22" s="19"/>
      <c r="L22" s="19"/>
      <c r="M22" s="19"/>
      <c r="N22" s="19"/>
      <c r="O22" s="23"/>
      <c r="P22" s="23"/>
    </row>
    <row r="23" spans="1:16">
      <c r="I23" s="19"/>
      <c r="J23" s="19"/>
      <c r="K23" s="19"/>
      <c r="L23" s="19"/>
      <c r="M23" s="19"/>
      <c r="N23" s="19"/>
      <c r="O23" s="23"/>
      <c r="P23" s="23"/>
    </row>
    <row r="24" spans="1:16">
      <c r="I24" s="19"/>
      <c r="J24" s="19"/>
      <c r="K24" s="19"/>
      <c r="L24" s="19"/>
      <c r="M24" s="19"/>
      <c r="N24" s="19"/>
      <c r="O24" s="23"/>
      <c r="P24" s="23"/>
    </row>
    <row r="25" ht="40.5" spans="1:16">
      <c r="A25" s="64" t="s">
        <v>51</v>
      </c>
      <c r="B25" s="64" t="s">
        <v>52</v>
      </c>
      <c r="C25" s="65" t="s">
        <v>53</v>
      </c>
      <c r="D25" s="64" t="s">
        <v>54</v>
      </c>
      <c r="E25" s="65" t="s">
        <v>55</v>
      </c>
      <c r="F25" s="64" t="s">
        <v>56</v>
      </c>
      <c r="I25" s="19"/>
      <c r="J25" s="19"/>
      <c r="K25" s="19"/>
      <c r="L25" s="19"/>
      <c r="M25" s="19"/>
      <c r="N25" s="19"/>
      <c r="O25" s="23"/>
      <c r="P25" s="23"/>
    </row>
    <row r="26" ht="37" customHeight="1" spans="1:16">
      <c r="A26" s="66" t="s">
        <v>16</v>
      </c>
      <c r="B26" s="67">
        <v>1384.97</v>
      </c>
      <c r="C26" s="67" t="s">
        <v>57</v>
      </c>
      <c r="D26" s="68">
        <f>B3*10</f>
        <v>13849.7</v>
      </c>
      <c r="E26" s="67" t="s">
        <v>58</v>
      </c>
      <c r="F26" s="68">
        <f>B3*2</f>
        <v>2769.94</v>
      </c>
      <c r="I26" s="19"/>
      <c r="J26" s="19"/>
      <c r="K26" s="19"/>
      <c r="L26" s="19"/>
      <c r="M26" s="19"/>
      <c r="N26" s="19"/>
      <c r="O26" s="23"/>
      <c r="P26" s="23"/>
    </row>
    <row r="27" spans="1:16">
      <c r="I27" s="19"/>
      <c r="J27" s="19"/>
      <c r="K27" s="19"/>
      <c r="L27" s="19">
        <f>2.7*1.03*1.03*1.03*1.03</f>
        <v>3.038873787</v>
      </c>
      <c r="M27" s="19"/>
      <c r="N27" s="19"/>
      <c r="O27" s="23"/>
      <c r="P27" s="23"/>
    </row>
    <row r="28" spans="1:16">
      <c r="I28" s="19"/>
      <c r="J28" s="19"/>
      <c r="K28" s="19"/>
      <c r="L28" s="19"/>
      <c r="M28" s="19"/>
      <c r="N28" s="19"/>
      <c r="O28" s="23"/>
      <c r="P28" s="23"/>
    </row>
    <row r="29" spans="1:16">
      <c r="I29" s="19"/>
      <c r="J29" s="19"/>
      <c r="K29" s="19"/>
      <c r="L29" s="19"/>
      <c r="M29" s="19"/>
      <c r="N29" s="19"/>
      <c r="O29" s="23"/>
      <c r="P29" s="23"/>
    </row>
    <row r="30" spans="1:16">
      <c r="I30" s="19"/>
      <c r="J30" s="19"/>
      <c r="K30" s="19"/>
      <c r="L30" s="19"/>
      <c r="M30" s="19"/>
      <c r="N30" s="19"/>
      <c r="O30" s="23"/>
      <c r="P30" s="23"/>
    </row>
    <row r="31" spans="1:16">
      <c r="I31" s="19"/>
      <c r="J31" s="19"/>
      <c r="K31" s="19"/>
      <c r="L31" s="19"/>
      <c r="M31" s="19"/>
      <c r="N31" s="19"/>
      <c r="O31" s="23"/>
      <c r="P31" s="23"/>
    </row>
    <row r="32" spans="1:16">
      <c r="I32" s="19"/>
      <c r="J32" s="19"/>
      <c r="K32" s="19"/>
      <c r="L32" s="19"/>
      <c r="M32" s="19"/>
      <c r="N32" s="19"/>
      <c r="O32" s="23"/>
      <c r="P32" s="23"/>
    </row>
    <row r="33" spans="9:16">
      <c r="I33" s="19"/>
      <c r="J33" s="19"/>
      <c r="K33" s="19"/>
      <c r="L33" s="19"/>
      <c r="M33" s="19"/>
      <c r="N33" s="19"/>
      <c r="O33" s="23"/>
      <c r="P33" s="23"/>
    </row>
    <row r="34" spans="9:16">
      <c r="I34" s="19"/>
      <c r="J34" s="19"/>
      <c r="K34" s="19"/>
      <c r="L34" s="19"/>
      <c r="M34" s="19"/>
      <c r="N34" s="19"/>
      <c r="O34" s="23"/>
      <c r="P34" s="23"/>
    </row>
    <row r="35" spans="9:16">
      <c r="I35" s="19"/>
      <c r="J35" s="19"/>
      <c r="K35" s="19"/>
      <c r="L35" s="19"/>
      <c r="M35" s="19"/>
      <c r="N35" s="19"/>
      <c r="O35" s="23"/>
      <c r="P35" s="23"/>
    </row>
    <row r="36" spans="9:16">
      <c r="I36" s="19"/>
      <c r="J36" s="19"/>
      <c r="K36" s="19"/>
      <c r="L36" s="19"/>
      <c r="M36" s="19"/>
      <c r="N36" s="19"/>
      <c r="O36" s="23"/>
      <c r="P36" s="23"/>
    </row>
    <row r="37" spans="9:16">
      <c r="I37" s="19"/>
      <c r="J37" s="19"/>
      <c r="K37" s="19"/>
      <c r="L37" s="19"/>
      <c r="M37" s="19"/>
      <c r="N37" s="19"/>
      <c r="O37" s="23"/>
      <c r="P37" s="23"/>
    </row>
    <row r="38" spans="9:16">
      <c r="I38" s="19"/>
      <c r="J38" s="19"/>
      <c r="K38" s="19"/>
      <c r="L38" s="19"/>
      <c r="M38" s="19"/>
      <c r="N38" s="19"/>
      <c r="O38" s="23"/>
      <c r="P38" s="23"/>
    </row>
    <row r="39" spans="9:16">
      <c r="I39" s="19"/>
      <c r="J39" s="19"/>
      <c r="K39" s="19"/>
      <c r="L39" s="19"/>
      <c r="M39" s="19"/>
      <c r="N39" s="19"/>
      <c r="O39" s="23"/>
      <c r="P39" s="23"/>
    </row>
  </sheetData>
  <mergeCells count="29">
    <mergeCell ref="M1:O1"/>
    <mergeCell ref="I13:N13"/>
    <mergeCell ref="A15:D15"/>
    <mergeCell ref="A1:A2"/>
    <mergeCell ref="A3:A13"/>
    <mergeCell ref="B1:B2"/>
    <mergeCell ref="B3:B13"/>
    <mergeCell ref="C1:C2"/>
    <mergeCell ref="C3:C13"/>
    <mergeCell ref="D1:D2"/>
    <mergeCell ref="D3:D13"/>
    <mergeCell ref="E1:E2"/>
    <mergeCell ref="E3:E13"/>
    <mergeCell ref="F1:F2"/>
    <mergeCell ref="F3:F13"/>
    <mergeCell ref="G1:G2"/>
    <mergeCell ref="G3:G13"/>
    <mergeCell ref="H1:H2"/>
    <mergeCell ref="H3:H13"/>
    <mergeCell ref="I1:I2"/>
    <mergeCell ref="I3:I4"/>
    <mergeCell ref="I5:I6"/>
    <mergeCell ref="I7:I8"/>
    <mergeCell ref="I9:I10"/>
    <mergeCell ref="I11:I12"/>
    <mergeCell ref="J1:J2"/>
    <mergeCell ref="K1:K2"/>
    <mergeCell ref="L1:L2"/>
    <mergeCell ref="P1:P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A1" sqref="A1:N12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12</v>
      </c>
      <c r="L1" s="4" t="s">
        <v>13</v>
      </c>
      <c r="M1" s="4" t="s">
        <v>14</v>
      </c>
      <c r="N1" s="5" t="s">
        <v>59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13</v>
      </c>
      <c r="M2" s="8" t="s">
        <v>14</v>
      </c>
      <c r="N2" s="9"/>
    </row>
    <row r="3" ht="22" customHeight="1" spans="1:14">
      <c r="A3" s="10" t="s">
        <v>60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61</v>
      </c>
      <c r="H3" s="11">
        <v>0.03</v>
      </c>
      <c r="I3" s="10" t="s">
        <v>18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23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28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62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61</v>
      </c>
      <c r="H6" s="11">
        <v>0.03</v>
      </c>
      <c r="I6" s="10" t="s">
        <v>18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23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28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43</v>
      </c>
      <c r="B9" s="17"/>
      <c r="C9" s="17"/>
      <c r="D9" s="17"/>
      <c r="E9" s="18"/>
      <c r="F9" s="17"/>
      <c r="G9" s="17"/>
      <c r="H9" s="17"/>
      <c r="I9" s="10" t="s">
        <v>18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23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28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44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45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46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47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48</v>
      </c>
      <c r="B20" t="s">
        <v>49</v>
      </c>
      <c r="H20" s="26"/>
    </row>
    <row r="21" spans="1:9">
      <c r="B21" t="s">
        <v>50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A座10层房租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2023-08-07T11:00:00Z</dcterms:created>
  <dcterms:modified xsi:type="dcterms:W3CDTF">2026-03-09T06:03:54Z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1F2E307F40CD40B5910D87E34912AA62_13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